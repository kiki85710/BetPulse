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ez-moi" sheetId="1" state="visible" r:id="rId1"/>
    <sheet xmlns:r="http://schemas.openxmlformats.org/officeDocument/2006/relationships" name="Épreuves" sheetId="2" state="visible" r:id="rId2"/>
    <sheet xmlns:r="http://schemas.openxmlformats.org/officeDocument/2006/relationships" name="Référentiels" sheetId="3" state="visible" r:id="rId3"/>
  </sheets>
  <definedNames>
    <definedName name="_xlnm._FilterDatabase" localSheetId="1" hidden="1">'Épreuves'!$A$1:$T$752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7">
    <font>
      <name val="Calibri"/>
      <family val="2"/>
      <color theme="1"/>
      <sz val="11"/>
      <scheme val="minor"/>
    </font>
    <font>
      <name val="Arial"/>
      <b val="1"/>
      <color rgb="001F3864"/>
      <sz val="18"/>
    </font>
    <font>
      <name val="Arial"/>
      <i val="1"/>
      <color rgb="00595959"/>
      <sz val="10"/>
    </font>
    <font>
      <name val="Arial"/>
      <b val="1"/>
      <color rgb="001F3864"/>
      <sz val="12"/>
    </font>
    <font>
      <name val="Arial"/>
      <sz val="10"/>
    </font>
    <font>
      <name val="Arial"/>
      <b val="1"/>
      <color rgb="00FFFFFF"/>
      <sz val="10"/>
    </font>
    <font>
      <name val="Arial"/>
      <b val="1"/>
      <sz val="10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2" borderId="1" pivotButton="0" quotePrefix="0" xfId="0"/>
    <xf numFmtId="0" fontId="6" fillId="0" borderId="1" pivotButton="0" quotePrefix="0" xfId="0"/>
    <xf numFmtId="0" fontId="4" fillId="0" borderId="1" applyAlignment="1" pivotButton="0" quotePrefix="0" xfId="0">
      <alignment vertical="top" wrapText="1"/>
    </xf>
    <xf numFmtId="0" fontId="5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center"/>
    </xf>
    <xf numFmtId="165" fontId="4" fillId="0" borderId="1" applyAlignment="1" pivotButton="0" quotePrefix="0" xfId="0">
      <alignment vertical="center"/>
    </xf>
    <xf numFmtId="49" fontId="4" fillId="0" borderId="1" applyAlignment="1" pivotButton="0" quotePrefix="0" xfId="0">
      <alignment vertical="center"/>
    </xf>
    <xf numFmtId="0" fontId="5" fillId="0" borderId="1" applyAlignment="1" pivotButton="0" quotePrefix="0" xfId="0">
      <alignment horizontal="center" vertical="center" wrapText="1"/>
    </xf>
    <xf numFmtId="0" fontId="4" fillId="0" borderId="1" pivotButton="0" quotePrefix="0" xfId="0"/>
    <xf numFmtId="165" fontId="4" fillId="0" borderId="1" pivotButton="0" quotePrefix="0" xfId="0"/>
    <xf numFmtId="0" fontId="6" fillId="0" borderId="0" pivotButton="0" quotePrefix="0" xfId="0"/>
  </cellXfs>
  <cellStyles count="1">
    <cellStyle name="Normal" xfId="0" builtinId="0" hidden="0"/>
  </cellStyles>
  <dxfs count="4">
    <dxf>
      <font>
        <color rgb="00808080"/>
      </font>
      <fill>
        <patternFill patternType="solid">
          <fgColor rgb="00F2F2F2"/>
        </patternFill>
      </fill>
    </dxf>
    <dxf>
      <font>
        <b val="1"/>
        <color rgb="009C5700"/>
      </font>
      <fill>
        <patternFill patternType="solid">
          <fgColor rgb="00FFEB9C"/>
        </patternFill>
      </fill>
    </dxf>
    <dxf>
      <font>
        <b val="1"/>
        <color rgb="009C0006"/>
      </font>
      <fill>
        <patternFill patternType="solid">
          <fgColor rgb="00FFC7CE"/>
        </patternFill>
      </fill>
    </dxf>
    <dxf>
      <font>
        <color rgb="00006100"/>
      </font>
      <fill>
        <patternFill patternType="solid">
          <fgColor rgb="00C6EF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57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4" customWidth="1" min="2" max="2"/>
    <col width="110" customWidth="1" min="3" max="3"/>
  </cols>
  <sheetData>
    <row r="2">
      <c r="B2" s="1" t="inlineStr">
        <is>
          <t>Planning des épreuves BetPulse</t>
        </is>
      </c>
    </row>
    <row r="3">
      <c r="B3" s="2" t="inlineStr">
        <is>
          <t>Saison 2026-2027 et suivantes. Données vérifiées sur le web le 16/10/2026.</t>
        </is>
      </c>
    </row>
    <row r="5">
      <c r="B5" s="3" t="inlineStr">
        <is>
          <t>À quoi sert ce fichier</t>
        </is>
      </c>
    </row>
    <row r="6">
      <c r="C6" s="4" t="inlineStr">
        <is>
          <t>Il recense toutes les épreuves proposées aux pronostics dans BetPulse : une ligne par épreuve, toutes compétitions confondues.</t>
        </is>
      </c>
    </row>
    <row r="7">
      <c r="C7" s="4" t="inlineStr">
        <is>
          <t>L'application (ou un script Python) lit l'onglet Épreuves pour savoir quelles épreuves ouvrir aux pronostics et à quelles dates.</t>
        </is>
      </c>
    </row>
    <row r="9">
      <c r="B9" s="3" t="inlineStr">
        <is>
          <t>Les onglets</t>
        </is>
      </c>
    </row>
    <row r="10">
      <c r="C10" s="4" t="inlineStr">
        <is>
          <t>Épreuves : la table de données. C'est le seul onglet à mettre à jour au quotidien.</t>
        </is>
      </c>
    </row>
    <row r="11">
      <c r="C11" s="4" t="inlineStr">
        <is>
          <t>Référentiels : la liste des sports, compétitions, statuts et genres autorisés, avec le nombre d'épreuves et la prochaine date par compétition.</t>
        </is>
      </c>
    </row>
    <row r="12">
      <c r="C12" s="4" t="inlineStr">
        <is>
          <t>Lisez-moi : cette notice.</t>
        </is>
      </c>
    </row>
    <row r="14">
      <c r="B14" s="3" t="inlineStr">
        <is>
          <t>Granularité retenue</t>
        </is>
      </c>
    </row>
    <row r="15">
      <c r="C15" s="4" t="inlineStr">
        <is>
          <t>Sports mécaniques (F1, MotoGP, WRC) : une ligne par week-end de course ou par rallye.</t>
        </is>
      </c>
    </row>
    <row r="16">
      <c r="C16" s="4" t="inlineStr">
        <is>
          <t>Sports collectifs (football, rugby, handball, hockey, volley, NFL) : une ligne par journée. NBA : une ligne par semaine, plus les temps forts (NBA Cup, All-Star, play-offs, Finales).</t>
        </is>
      </c>
    </row>
    <row r="17">
      <c r="C17" s="4" t="inlineStr">
        <is>
          <t>Ski alpin et biathlon : une ligne par épreuve (une course = une ligne, hommes et femmes séparés).</t>
        </is>
      </c>
    </row>
    <row r="18">
      <c r="C18" s="4" t="inlineStr">
        <is>
          <t>Golf, tennis, cyclisme : une ligne par tournoi ou par course (les courses par étapes tiennent sur une ligne, du premier au dernier jour).</t>
        </is>
      </c>
    </row>
    <row r="20">
      <c r="B20" s="3" t="inlineStr">
        <is>
          <t>Règles de saisie</t>
        </is>
      </c>
    </row>
    <row r="21">
      <c r="C21" s="4" t="inlineStr">
        <is>
          <t>1. Une ligne = une épreuve. Ne pas fusionner de cellules, ne pas laisser de ligne vide au milieu de la table.</t>
        </is>
      </c>
    </row>
    <row r="22">
      <c r="C22" s="4" t="inlineStr">
        <is>
          <t>2. Les colonnes sport, competition, statut, genre et ouvert_pronos ont une liste déroulante : choisir une valeur de la liste.</t>
        </is>
      </c>
    </row>
    <row r="23">
      <c r="C23" s="4" t="inlineStr">
        <is>
          <t>3. Les dates se saisissent au format JJ/MM/AAAA. Les heures sont en heure de Paris (HH:MM).</t>
        </is>
      </c>
    </row>
    <row r="24">
      <c r="C24" s="4" t="inlineStr">
        <is>
          <t>4. L'identifiant (colonne id) ne se modifie jamais. Pour une nouvelle épreuve : CODE-SAISON-NUMÉRO, le code étant celui de l'onglet Référentiels (ex. F1-2027-025).</t>
        </is>
      </c>
    </row>
    <row r="25">
      <c r="C25" s="4" t="inlineStr">
        <is>
          <t>5. Une épreuve annulée ou reportée n'est pas supprimée : changer son statut et préciser la raison dans notes.</t>
        </is>
      </c>
    </row>
    <row r="26">
      <c r="C26" s="4" t="inlineStr">
        <is>
          <t>6. À chaque vérification, mettre à jour source_url et date_verification.</t>
        </is>
      </c>
    </row>
    <row r="27">
      <c r="C27" s="4" t="inlineStr">
        <is>
          <t>7. La colonne avancement se calcule seule. Pour une nouvelle ligne, recopier la formule de la ligne du dessus (dans Google Sheets, elle s'étend toute seule).</t>
        </is>
      </c>
    </row>
    <row r="29">
      <c r="B29" s="3" t="inlineStr">
        <is>
          <t>Code couleur</t>
        </is>
      </c>
    </row>
    <row r="30">
      <c r="C30" s="4" t="inlineStr">
        <is>
          <t>Ligne grisée : épreuve terminée.</t>
        </is>
      </c>
    </row>
    <row r="31">
      <c r="C31" s="4" t="inlineStr">
        <is>
          <t>Statut en orange : date provisoire. Statut en rouge : date à confirmer, reportée ou annulée.</t>
        </is>
      </c>
    </row>
    <row r="33">
      <c r="B33" s="3" t="inlineStr">
        <is>
          <t>Lecture en Python</t>
        </is>
      </c>
    </row>
    <row r="34">
      <c r="C34" s="4" t="inlineStr">
        <is>
          <t>Voir planning/lire_planning.py dans le dépôt BetPulse. Le script lit l'onglet Épreuves (export CSV ou API Google Sheets) et renvoie un DataFrame pandas.</t>
        </is>
      </c>
    </row>
    <row r="36">
      <c r="B36" s="3" t="inlineStr">
        <is>
          <t>Dictionnaire des colonnes (onglet Épreuves)</t>
        </is>
      </c>
    </row>
    <row r="37">
      <c r="B37" s="5" t="inlineStr">
        <is>
          <t>Colonne</t>
        </is>
      </c>
      <c r="C37" s="5" t="inlineStr">
        <is>
          <t>Contenu</t>
        </is>
      </c>
    </row>
    <row r="38">
      <c r="B38" s="6" t="inlineStr">
        <is>
          <t>id</t>
        </is>
      </c>
      <c r="C38" s="7" t="inlineStr">
        <is>
          <t>Identifiant unique et stable : CODE-SAISON-NUMÉRO. Ne jamais le modifier une fois créé (le code Python s'en sert comme clé).</t>
        </is>
      </c>
    </row>
    <row r="39">
      <c r="B39" s="6" t="inlineStr">
        <is>
          <t>sport</t>
        </is>
      </c>
      <c r="C39" s="7" t="inlineStr">
        <is>
          <t>Sport, choisi dans la liste (onglet Référentiels).</t>
        </is>
      </c>
    </row>
    <row r="40">
      <c r="B40" s="6" t="inlineStr">
        <is>
          <t>competition</t>
        </is>
      </c>
      <c r="C40" s="7" t="inlineStr">
        <is>
          <t>Compétition, choisie dans la liste (onglet Référentiels).</t>
        </is>
      </c>
    </row>
    <row r="41">
      <c r="B41" s="6" t="inlineStr">
        <is>
          <t>saison</t>
        </is>
      </c>
      <c r="C41" s="7" t="inlineStr">
        <is>
          <t>Saison : 2026-2027 pour les sports d'hiver et les championnats à cheval sur deux années, 2026 ou 2027 pour les calendriers sur une année civile.</t>
        </is>
      </c>
    </row>
    <row r="42">
      <c r="B42" s="6" t="inlineStr">
        <is>
          <t>phase</t>
        </is>
      </c>
      <c r="C42" s="7" t="inlineStr">
        <is>
          <t>Phase de la compétition : saison régulière, phase de ligue, play-offs, finale, discipline (ski, biathlon)...</t>
        </is>
      </c>
    </row>
    <row r="43">
      <c r="B43" s="6" t="inlineStr">
        <is>
          <t>manche</t>
        </is>
      </c>
      <c r="C43" s="7" t="inlineStr">
        <is>
          <t>Numéro de journée, de semaine ou de manche. Vide si la phase n'est pas numérotée.</t>
        </is>
      </c>
    </row>
    <row r="44">
      <c r="B44" s="6" t="inlineStr">
        <is>
          <t>intitule</t>
        </is>
      </c>
      <c r="C44" s="7" t="inlineStr">
        <is>
          <t>Libellé lisible de l'épreuve, tel qu'il sera affiché dans BetPulse.</t>
        </is>
      </c>
    </row>
    <row r="45">
      <c r="B45" s="6" t="inlineStr">
        <is>
          <t>date_debut</t>
        </is>
      </c>
      <c r="C45" s="7" t="inlineStr">
        <is>
          <t>Premier jour de l'épreuve (format JJ/MM/AAAA).</t>
        </is>
      </c>
    </row>
    <row r="46">
      <c r="B46" s="6" t="inlineStr">
        <is>
          <t>date_fin</t>
        </is>
      </c>
      <c r="C46" s="7" t="inlineStr">
        <is>
          <t>Dernier jour de l'épreuve. Identique à date_debut pour une épreuve d'un jour.</t>
        </is>
      </c>
    </row>
    <row r="47">
      <c r="B47" s="6" t="inlineStr">
        <is>
          <t>heure_debut</t>
        </is>
      </c>
      <c r="C47" s="7" t="inlineStr">
        <is>
          <t>Heure de départ, heure de Paris (HH:MM). Renseignée seulement si elle est officielle.</t>
        </is>
      </c>
    </row>
    <row r="48">
      <c r="B48" s="6" t="inlineStr">
        <is>
          <t>fuseau</t>
        </is>
      </c>
      <c r="C48" s="7" t="inlineStr">
        <is>
          <t>Fuseau horaire de heure_debut. Toujours Europe/Paris.</t>
        </is>
      </c>
    </row>
    <row r="49">
      <c r="B49" s="6" t="inlineStr">
        <is>
          <t>lieu</t>
        </is>
      </c>
      <c r="C49" s="7" t="inlineStr">
        <is>
          <t>Site et ville. Vide pour une journée de championnat (plusieurs stades).</t>
        </is>
      </c>
    </row>
    <row r="50">
      <c r="B50" s="6" t="inlineStr">
        <is>
          <t>pays</t>
        </is>
      </c>
      <c r="C50" s="7" t="inlineStr">
        <is>
          <t>Pays hôte.</t>
        </is>
      </c>
    </row>
    <row r="51">
      <c r="B51" s="6" t="inlineStr">
        <is>
          <t>genre</t>
        </is>
      </c>
      <c r="C51" s="7" t="inlineStr">
        <is>
          <t>Hommes, Femmes ou Mixte.</t>
        </is>
      </c>
    </row>
    <row r="52">
      <c r="B52" s="6" t="inlineStr">
        <is>
          <t>statut</t>
        </is>
      </c>
      <c r="C52" s="7" t="inlineStr">
        <is>
          <t>Officiel : date confirmée par l'organisateur. Provisoire : publiée mais susceptible de bouger (programmation TV, calendrier provisoire). À confirmer : pas encore publiée. Reporté / Annulé.</t>
        </is>
      </c>
    </row>
    <row r="53">
      <c r="B53" s="6" t="inlineStr">
        <is>
          <t>ouvert_pronos</t>
        </is>
      </c>
      <c r="C53" s="7" t="inlineStr">
        <is>
          <t>Oui si l'épreuve est proposée aux pronostics dans BetPulse, sinon Non.</t>
        </is>
      </c>
    </row>
    <row r="54">
      <c r="B54" s="6" t="inlineStr">
        <is>
          <t>source_url</t>
        </is>
      </c>
      <c r="C54" s="7" t="inlineStr">
        <is>
          <t>Page web sur laquelle la date a été vérifiée.</t>
        </is>
      </c>
    </row>
    <row r="55">
      <c r="B55" s="6" t="inlineStr">
        <is>
          <t>date_verification</t>
        </is>
      </c>
      <c r="C55" s="7" t="inlineStr">
        <is>
          <t>Date de la dernière vérification de la ligne.</t>
        </is>
      </c>
    </row>
    <row r="56">
      <c r="B56" s="6" t="inlineStr">
        <is>
          <t>notes</t>
        </is>
      </c>
      <c r="C56" s="7" t="inlineStr">
        <is>
          <t>Précision utile : week-end sprint, match délocalisé, programme détaillé non publié...</t>
        </is>
      </c>
    </row>
    <row r="57">
      <c r="B57" s="6" t="inlineStr">
        <is>
          <t>avancement</t>
        </is>
      </c>
      <c r="C57" s="7" t="inlineStr">
        <is>
          <t>Calculé automatiquement (ne pas saisir) : À venir, En cours ou Terminé selon la date du jour.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752"/>
  <sheetViews>
    <sheetView workbookViewId="0">
      <pane xSplit="7" ySplit="1" topLeftCell="H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8" customWidth="1" min="2" max="2"/>
    <col width="30" customWidth="1" min="3" max="3"/>
    <col width="10" customWidth="1" min="4" max="4"/>
    <col width="22" customWidth="1" min="5" max="5"/>
    <col width="9" customWidth="1" min="6" max="6"/>
    <col width="44" customWidth="1" min="7" max="7"/>
    <col width="12" customWidth="1" min="8" max="8"/>
    <col width="12" customWidth="1" min="9" max="9"/>
    <col width="11" customWidth="1" min="10" max="10"/>
    <col width="13" customWidth="1" min="11" max="11"/>
    <col width="32" customWidth="1" min="12" max="12"/>
    <col width="14" customWidth="1" min="13" max="13"/>
    <col width="9" customWidth="1" min="14" max="14"/>
    <col width="13" customWidth="1" min="15" max="15"/>
    <col width="13" customWidth="1" min="16" max="16"/>
    <col width="40" customWidth="1" min="17" max="17"/>
    <col width="13" customWidth="1" min="18" max="18"/>
    <col width="40" customWidth="1" min="19" max="19"/>
    <col width="12" customWidth="1" min="20" max="20"/>
  </cols>
  <sheetData>
    <row r="1" ht="30" customHeight="1">
      <c r="A1" s="8" t="inlineStr">
        <is>
          <t>id</t>
        </is>
      </c>
      <c r="B1" s="8" t="inlineStr">
        <is>
          <t>sport</t>
        </is>
      </c>
      <c r="C1" s="8" t="inlineStr">
        <is>
          <t>competition</t>
        </is>
      </c>
      <c r="D1" s="8" t="inlineStr">
        <is>
          <t>saison</t>
        </is>
      </c>
      <c r="E1" s="8" t="inlineStr">
        <is>
          <t>phase</t>
        </is>
      </c>
      <c r="F1" s="8" t="inlineStr">
        <is>
          <t>manche</t>
        </is>
      </c>
      <c r="G1" s="8" t="inlineStr">
        <is>
          <t>intitule</t>
        </is>
      </c>
      <c r="H1" s="8" t="inlineStr">
        <is>
          <t>date_debut</t>
        </is>
      </c>
      <c r="I1" s="8" t="inlineStr">
        <is>
          <t>date_fin</t>
        </is>
      </c>
      <c r="J1" s="8" t="inlineStr">
        <is>
          <t>heure_debut</t>
        </is>
      </c>
      <c r="K1" s="8" t="inlineStr">
        <is>
          <t>fuseau</t>
        </is>
      </c>
      <c r="L1" s="8" t="inlineStr">
        <is>
          <t>lieu</t>
        </is>
      </c>
      <c r="M1" s="8" t="inlineStr">
        <is>
          <t>pays</t>
        </is>
      </c>
      <c r="N1" s="8" t="inlineStr">
        <is>
          <t>genre</t>
        </is>
      </c>
      <c r="O1" s="8" t="inlineStr">
        <is>
          <t>statut</t>
        </is>
      </c>
      <c r="P1" s="8" t="inlineStr">
        <is>
          <t>ouvert_pronos</t>
        </is>
      </c>
      <c r="Q1" s="8" t="inlineStr">
        <is>
          <t>source_url</t>
        </is>
      </c>
      <c r="R1" s="8" t="inlineStr">
        <is>
          <t>date_verification</t>
        </is>
      </c>
      <c r="S1" s="8" t="inlineStr">
        <is>
          <t>notes</t>
        </is>
      </c>
      <c r="T1" s="8" t="inlineStr">
        <is>
          <t>avancement</t>
        </is>
      </c>
    </row>
    <row r="2">
      <c r="A2" s="9" t="inlineStr">
        <is>
          <t>L1-2627-001</t>
        </is>
      </c>
      <c r="B2" s="9" t="inlineStr">
        <is>
          <t>Football</t>
        </is>
      </c>
      <c r="C2" s="9" t="inlineStr">
        <is>
          <t>Ligue 1</t>
        </is>
      </c>
      <c r="D2" s="9" t="inlineStr">
        <is>
          <t>2026-2027</t>
        </is>
      </c>
      <c r="E2" s="9" t="inlineStr">
        <is>
          <t>Saison régulière</t>
        </is>
      </c>
      <c r="F2" s="9" t="n">
        <v>1</v>
      </c>
      <c r="G2" s="9" t="inlineStr">
        <is>
          <t>Ligue 1 – Journée 1</t>
        </is>
      </c>
      <c r="H2" s="10" t="n">
        <v>46255</v>
      </c>
      <c r="I2" s="10" t="n">
        <v>46257</v>
      </c>
      <c r="J2" s="11" t="n"/>
      <c r="K2" s="9" t="inlineStr">
        <is>
          <t>Europe/Paris</t>
        </is>
      </c>
      <c r="L2" s="9" t="n"/>
      <c r="M2" s="9" t="inlineStr">
        <is>
          <t>France</t>
        </is>
      </c>
      <c r="N2" s="9" t="inlineStr">
        <is>
          <t>Hommes</t>
        </is>
      </c>
      <c r="O2" s="9" t="inlineStr">
        <is>
          <t>Officiel</t>
        </is>
      </c>
      <c r="P2" s="9" t="inlineStr">
        <is>
          <t>Oui</t>
        </is>
      </c>
      <c r="Q2" s="9" t="inlineStr">
        <is>
          <t>https://ligue1.com/fr/articles/l1_article_5284-ligue-1-mc-donald-s-le-calendrier-de-la-saison-26-27</t>
        </is>
      </c>
      <c r="R2" s="10" t="n">
        <v>46311</v>
      </c>
      <c r="S2" s="9" t="inlineStr">
        <is>
          <t>Ouverture de la saison (21-23 août)</t>
        </is>
      </c>
      <c r="T2" s="9">
        <f>IF(H2="","",IF(MAX(H2,I2)&lt;TODAY(),"Terminé",IF(H2&lt;=TODAY(),"En cours","À venir")))</f>
        <v/>
      </c>
    </row>
    <row r="3">
      <c r="A3" s="9" t="inlineStr">
        <is>
          <t>L1-2627-002</t>
        </is>
      </c>
      <c r="B3" s="9" t="inlineStr">
        <is>
          <t>Football</t>
        </is>
      </c>
      <c r="C3" s="9" t="inlineStr">
        <is>
          <t>Ligue 1</t>
        </is>
      </c>
      <c r="D3" s="9" t="inlineStr">
        <is>
          <t>2026-2027</t>
        </is>
      </c>
      <c r="E3" s="9" t="inlineStr">
        <is>
          <t>Saison régulière</t>
        </is>
      </c>
      <c r="F3" s="9" t="n">
        <v>2</v>
      </c>
      <c r="G3" s="9" t="inlineStr">
        <is>
          <t>Ligue 1 – Journée 2</t>
        </is>
      </c>
      <c r="H3" s="10" t="n">
        <v>46262</v>
      </c>
      <c r="I3" s="10" t="n">
        <v>46264</v>
      </c>
      <c r="J3" s="11" t="n"/>
      <c r="K3" s="9" t="inlineStr">
        <is>
          <t>Europe/Paris</t>
        </is>
      </c>
      <c r="L3" s="9" t="n"/>
      <c r="M3" s="9" t="inlineStr">
        <is>
          <t>France</t>
        </is>
      </c>
      <c r="N3" s="9" t="inlineStr">
        <is>
          <t>Hommes</t>
        </is>
      </c>
      <c r="O3" s="9" t="inlineStr">
        <is>
          <t>Officiel</t>
        </is>
      </c>
      <c r="P3" s="9" t="inlineStr">
        <is>
          <t>Oui</t>
        </is>
      </c>
      <c r="Q3" s="9" t="inlineStr">
        <is>
          <t>https://ligue1.com/fr/articles/l1_article_5435-programmation-tv-des-2-premieres-journees-de-ligue-1-mc-donald-s-2627</t>
        </is>
      </c>
      <c r="R3" s="10" t="n">
        <v>46311</v>
      </c>
      <c r="S3" s="9" t="inlineStr">
        <is>
          <t>Week-end du 29 août ; jours exacts par match non vérifiés</t>
        </is>
      </c>
      <c r="T3" s="9">
        <f>IF(H3="","",IF(MAX(H3,I3)&lt;TODAY(),"Terminé",IF(H3&lt;=TODAY(),"En cours","À venir")))</f>
        <v/>
      </c>
    </row>
    <row r="4">
      <c r="A4" s="9" t="inlineStr">
        <is>
          <t>L1-2627-003</t>
        </is>
      </c>
      <c r="B4" s="9" t="inlineStr">
        <is>
          <t>Football</t>
        </is>
      </c>
      <c r="C4" s="9" t="inlineStr">
        <is>
          <t>Ligue 1</t>
        </is>
      </c>
      <c r="D4" s="9" t="inlineStr">
        <is>
          <t>2026-2027</t>
        </is>
      </c>
      <c r="E4" s="9" t="inlineStr">
        <is>
          <t>Saison régulière</t>
        </is>
      </c>
      <c r="F4" s="9" t="n">
        <v>3</v>
      </c>
      <c r="G4" s="9" t="inlineStr">
        <is>
          <t>Ligue 1 – Journée 3</t>
        </is>
      </c>
      <c r="H4" s="10" t="n">
        <v>46268</v>
      </c>
      <c r="I4" s="10" t="n">
        <v>46271</v>
      </c>
      <c r="J4" s="11" t="n"/>
      <c r="K4" s="9" t="inlineStr">
        <is>
          <t>Europe/Paris</t>
        </is>
      </c>
      <c r="L4" s="9" t="n"/>
      <c r="M4" s="9" t="inlineStr">
        <is>
          <t>France</t>
        </is>
      </c>
      <c r="N4" s="9" t="inlineStr">
        <is>
          <t>Hommes</t>
        </is>
      </c>
      <c r="O4" s="9" t="inlineStr">
        <is>
          <t>Officiel</t>
        </is>
      </c>
      <c r="P4" s="9" t="inlineStr">
        <is>
          <t>Oui</t>
        </is>
      </c>
      <c r="Q4" s="9" t="inlineStr">
        <is>
          <t>https://ligue1.com/fr/articles/l1_article_5572-programmation-tv-j3-ligue-1-mc-donald-s-2627</t>
        </is>
      </c>
      <c r="R4" s="10" t="n">
        <v>46311</v>
      </c>
      <c r="S4" s="9" t="inlineStr">
        <is>
          <t>Ouverture le jeudi 3 septembre (Toulouse–LOSC)</t>
        </is>
      </c>
      <c r="T4" s="9">
        <f>IF(H4="","",IF(MAX(H4,I4)&lt;TODAY(),"Terminé",IF(H4&lt;=TODAY(),"En cours","À venir")))</f>
        <v/>
      </c>
    </row>
    <row r="5">
      <c r="A5" s="9" t="inlineStr">
        <is>
          <t>L1-2627-004</t>
        </is>
      </c>
      <c r="B5" s="9" t="inlineStr">
        <is>
          <t>Football</t>
        </is>
      </c>
      <c r="C5" s="9" t="inlineStr">
        <is>
          <t>Ligue 1</t>
        </is>
      </c>
      <c r="D5" s="9" t="inlineStr">
        <is>
          <t>2026-2027</t>
        </is>
      </c>
      <c r="E5" s="9" t="inlineStr">
        <is>
          <t>Saison régulière</t>
        </is>
      </c>
      <c r="F5" s="9" t="n">
        <v>4</v>
      </c>
      <c r="G5" s="9" t="inlineStr">
        <is>
          <t>Ligue 1 – Journée 4</t>
        </is>
      </c>
      <c r="H5" s="10" t="n">
        <v>46276</v>
      </c>
      <c r="I5" s="10" t="n">
        <v>46278</v>
      </c>
      <c r="J5" s="11" t="n"/>
      <c r="K5" s="9" t="inlineStr">
        <is>
          <t>Europe/Paris</t>
        </is>
      </c>
      <c r="L5" s="9" t="n"/>
      <c r="M5" s="9" t="inlineStr">
        <is>
          <t>France</t>
        </is>
      </c>
      <c r="N5" s="9" t="inlineStr">
        <is>
          <t>Hommes</t>
        </is>
      </c>
      <c r="O5" s="9" t="inlineStr">
        <is>
          <t>Officiel</t>
        </is>
      </c>
      <c r="P5" s="9" t="inlineStr">
        <is>
          <t>Oui</t>
        </is>
      </c>
      <c r="Q5" s="9" t="inlineStr">
        <is>
          <t>https://ligue1.com/fr/articles/l1_article_5562-programmation-tv-j4-2</t>
        </is>
      </c>
      <c r="R5" s="10" t="n">
        <v>46311</v>
      </c>
      <c r="S5" s="9" t="n"/>
      <c r="T5" s="9">
        <f>IF(H5="","",IF(MAX(H5,I5)&lt;TODAY(),"Terminé",IF(H5&lt;=TODAY(),"En cours","À venir")))</f>
        <v/>
      </c>
    </row>
    <row r="6">
      <c r="A6" s="9" t="inlineStr">
        <is>
          <t>L1-2627-005</t>
        </is>
      </c>
      <c r="B6" s="9" t="inlineStr">
        <is>
          <t>Football</t>
        </is>
      </c>
      <c r="C6" s="9" t="inlineStr">
        <is>
          <t>Ligue 1</t>
        </is>
      </c>
      <c r="D6" s="9" t="inlineStr">
        <is>
          <t>2026-2027</t>
        </is>
      </c>
      <c r="E6" s="9" t="inlineStr">
        <is>
          <t>Saison régulière</t>
        </is>
      </c>
      <c r="F6" s="9" t="n">
        <v>5</v>
      </c>
      <c r="G6" s="9" t="inlineStr">
        <is>
          <t>Ligue 1 – Journée 5</t>
        </is>
      </c>
      <c r="H6" s="10" t="n">
        <v>46283</v>
      </c>
      <c r="I6" s="10" t="n">
        <v>46285</v>
      </c>
      <c r="J6" s="11" t="n"/>
      <c r="K6" s="9" t="inlineStr">
        <is>
          <t>Europe/Paris</t>
        </is>
      </c>
      <c r="L6" s="9" t="n"/>
      <c r="M6" s="9" t="inlineStr">
        <is>
          <t>France</t>
        </is>
      </c>
      <c r="N6" s="9" t="inlineStr">
        <is>
          <t>Hommes</t>
        </is>
      </c>
      <c r="O6" s="9" t="inlineStr">
        <is>
          <t>Officiel</t>
        </is>
      </c>
      <c r="P6" s="9" t="inlineStr">
        <is>
          <t>Oui</t>
        </is>
      </c>
      <c r="Q6" s="9" t="inlineStr">
        <is>
          <t>https://ligue1.com/fr/articles/l1_article_5790-programmation-tv-j5-ligue-1-2026-2027</t>
        </is>
      </c>
      <c r="R6" s="10" t="n">
        <v>46311</v>
      </c>
      <c r="S6" s="9" t="inlineStr">
        <is>
          <t>Trêve internationale ensuite (21 sept.–6 oct.)</t>
        </is>
      </c>
      <c r="T6" s="9">
        <f>IF(H6="","",IF(MAX(H6,I6)&lt;TODAY(),"Terminé",IF(H6&lt;=TODAY(),"En cours","À venir")))</f>
        <v/>
      </c>
    </row>
    <row r="7">
      <c r="A7" s="9" t="inlineStr">
        <is>
          <t>L1-2627-006</t>
        </is>
      </c>
      <c r="B7" s="9" t="inlineStr">
        <is>
          <t>Football</t>
        </is>
      </c>
      <c r="C7" s="9" t="inlineStr">
        <is>
          <t>Ligue 1</t>
        </is>
      </c>
      <c r="D7" s="9" t="inlineStr">
        <is>
          <t>2026-2027</t>
        </is>
      </c>
      <c r="E7" s="9" t="inlineStr">
        <is>
          <t>Saison régulière</t>
        </is>
      </c>
      <c r="F7" s="9" t="n">
        <v>6</v>
      </c>
      <c r="G7" s="9" t="inlineStr">
        <is>
          <t>Ligue 1 – Journée 6</t>
        </is>
      </c>
      <c r="H7" s="10" t="n">
        <v>46304</v>
      </c>
      <c r="I7" s="10" t="n">
        <v>46306</v>
      </c>
      <c r="J7" s="11" t="n"/>
      <c r="K7" s="9" t="inlineStr">
        <is>
          <t>Europe/Paris</t>
        </is>
      </c>
      <c r="L7" s="9" t="n"/>
      <c r="M7" s="9" t="inlineStr">
        <is>
          <t>France</t>
        </is>
      </c>
      <c r="N7" s="9" t="inlineStr">
        <is>
          <t>Hommes</t>
        </is>
      </c>
      <c r="O7" s="9" t="inlineStr">
        <is>
          <t>Officiel</t>
        </is>
      </c>
      <c r="P7" s="9" t="inlineStr">
        <is>
          <t>Oui</t>
        </is>
      </c>
      <c r="Q7" s="9" t="inlineStr">
        <is>
          <t>https://ligue1.com/fr/articles/l1_article_5797-programmations-tv-j6-j7-et-j8-l1-2627</t>
        </is>
      </c>
      <c r="R7" s="10" t="n">
        <v>46311</v>
      </c>
      <c r="S7" s="9" t="n"/>
      <c r="T7" s="9">
        <f>IF(H7="","",IF(MAX(H7,I7)&lt;TODAY(),"Terminé",IF(H7&lt;=TODAY(),"En cours","À venir")))</f>
        <v/>
      </c>
    </row>
    <row r="8">
      <c r="A8" s="9" t="inlineStr">
        <is>
          <t>L1-2627-007</t>
        </is>
      </c>
      <c r="B8" s="9" t="inlineStr">
        <is>
          <t>Football</t>
        </is>
      </c>
      <c r="C8" s="9" t="inlineStr">
        <is>
          <t>Ligue 1</t>
        </is>
      </c>
      <c r="D8" s="9" t="inlineStr">
        <is>
          <t>2026-2027</t>
        </is>
      </c>
      <c r="E8" s="9" t="inlineStr">
        <is>
          <t>Saison régulière</t>
        </is>
      </c>
      <c r="F8" s="9" t="n">
        <v>7</v>
      </c>
      <c r="G8" s="9" t="inlineStr">
        <is>
          <t>Ligue 1 – Journée 7</t>
        </is>
      </c>
      <c r="H8" s="10" t="n">
        <v>46311</v>
      </c>
      <c r="I8" s="10" t="n">
        <v>46313</v>
      </c>
      <c r="J8" s="11" t="n"/>
      <c r="K8" s="9" t="inlineStr">
        <is>
          <t>Europe/Paris</t>
        </is>
      </c>
      <c r="L8" s="9" t="n"/>
      <c r="M8" s="9" t="inlineStr">
        <is>
          <t>France</t>
        </is>
      </c>
      <c r="N8" s="9" t="inlineStr">
        <is>
          <t>Hommes</t>
        </is>
      </c>
      <c r="O8" s="9" t="inlineStr">
        <is>
          <t>Officiel</t>
        </is>
      </c>
      <c r="P8" s="9" t="inlineStr">
        <is>
          <t>Oui</t>
        </is>
      </c>
      <c r="Q8" s="9" t="inlineStr">
        <is>
          <t>https://ligue1.com/fr/articles/l1_article_5797-programmations-tv-j6-j7-et-j8-l1-2627</t>
        </is>
      </c>
      <c r="R8" s="10" t="n">
        <v>46311</v>
      </c>
      <c r="S8" s="9" t="n"/>
      <c r="T8" s="9">
        <f>IF(H8="","",IF(MAX(H8,I8)&lt;TODAY(),"Terminé",IF(H8&lt;=TODAY(),"En cours","À venir")))</f>
        <v/>
      </c>
    </row>
    <row r="9">
      <c r="A9" s="9" t="inlineStr">
        <is>
          <t>L1-2627-008</t>
        </is>
      </c>
      <c r="B9" s="9" t="inlineStr">
        <is>
          <t>Football</t>
        </is>
      </c>
      <c r="C9" s="9" t="inlineStr">
        <is>
          <t>Ligue 1</t>
        </is>
      </c>
      <c r="D9" s="9" t="inlineStr">
        <is>
          <t>2026-2027</t>
        </is>
      </c>
      <c r="E9" s="9" t="inlineStr">
        <is>
          <t>Saison régulière</t>
        </is>
      </c>
      <c r="F9" s="9" t="n">
        <v>8</v>
      </c>
      <c r="G9" s="9" t="inlineStr">
        <is>
          <t>Ligue 1 – Journée 8</t>
        </is>
      </c>
      <c r="H9" s="10" t="n">
        <v>46318</v>
      </c>
      <c r="I9" s="10" t="n">
        <v>46320</v>
      </c>
      <c r="J9" s="11" t="n"/>
      <c r="K9" s="9" t="inlineStr">
        <is>
          <t>Europe/Paris</t>
        </is>
      </c>
      <c r="L9" s="9" t="n"/>
      <c r="M9" s="9" t="inlineStr">
        <is>
          <t>France</t>
        </is>
      </c>
      <c r="N9" s="9" t="inlineStr">
        <is>
          <t>Hommes</t>
        </is>
      </c>
      <c r="O9" s="9" t="inlineStr">
        <is>
          <t>Officiel</t>
        </is>
      </c>
      <c r="P9" s="9" t="inlineStr">
        <is>
          <t>Oui</t>
        </is>
      </c>
      <c r="Q9" s="9" t="inlineStr">
        <is>
          <t>https://ligue1.com/fr/articles/l1_article_5797-programmations-tv-j6-j7-et-j8-l1-2627</t>
        </is>
      </c>
      <c r="R9" s="10" t="n">
        <v>46311</v>
      </c>
      <c r="S9" s="9" t="n"/>
      <c r="T9" s="9">
        <f>IF(H9="","",IF(MAX(H9,I9)&lt;TODAY(),"Terminé",IF(H9&lt;=TODAY(),"En cours","À venir")))</f>
        <v/>
      </c>
    </row>
    <row r="10">
      <c r="A10" s="9" t="inlineStr">
        <is>
          <t>L1-2627-009</t>
        </is>
      </c>
      <c r="B10" s="9" t="inlineStr">
        <is>
          <t>Football</t>
        </is>
      </c>
      <c r="C10" s="9" t="inlineStr">
        <is>
          <t>Ligue 1</t>
        </is>
      </c>
      <c r="D10" s="9" t="inlineStr">
        <is>
          <t>2026-2027</t>
        </is>
      </c>
      <c r="E10" s="9" t="inlineStr">
        <is>
          <t>Saison régulière</t>
        </is>
      </c>
      <c r="F10" s="9" t="n">
        <v>9</v>
      </c>
      <c r="G10" s="9" t="inlineStr">
        <is>
          <t>Ligue 1 – Journée 9</t>
        </is>
      </c>
      <c r="H10" s="10" t="n">
        <v>46325</v>
      </c>
      <c r="I10" s="10" t="n">
        <v>46327</v>
      </c>
      <c r="J10" s="11" t="n"/>
      <c r="K10" s="9" t="inlineStr">
        <is>
          <t>Europe/Paris</t>
        </is>
      </c>
      <c r="L10" s="9" t="n"/>
      <c r="M10" s="9" t="inlineStr">
        <is>
          <t>France</t>
        </is>
      </c>
      <c r="N10" s="9" t="inlineStr">
        <is>
          <t>Hommes</t>
        </is>
      </c>
      <c r="O10" s="9" t="inlineStr">
        <is>
          <t>Officiel</t>
        </is>
      </c>
      <c r="P10" s="9" t="inlineStr">
        <is>
          <t>Oui</t>
        </is>
      </c>
      <c r="Q10" s="9" t="inlineStr">
        <is>
          <t>https://ligue1.com/fr/articles/l1_article_5805-programmation-tv-j9-1</t>
        </is>
      </c>
      <c r="R10" s="10" t="n">
        <v>46311</v>
      </c>
      <c r="S10" s="9" t="n"/>
      <c r="T10" s="9">
        <f>IF(H10="","",IF(MAX(H10,I10)&lt;TODAY(),"Terminé",IF(H10&lt;=TODAY(),"En cours","À venir")))</f>
        <v/>
      </c>
    </row>
    <row r="11">
      <c r="A11" s="9" t="inlineStr">
        <is>
          <t>L1-2627-010</t>
        </is>
      </c>
      <c r="B11" s="9" t="inlineStr">
        <is>
          <t>Football</t>
        </is>
      </c>
      <c r="C11" s="9" t="inlineStr">
        <is>
          <t>Ligue 1</t>
        </is>
      </c>
      <c r="D11" s="9" t="inlineStr">
        <is>
          <t>2026-2027</t>
        </is>
      </c>
      <c r="E11" s="9" t="inlineStr">
        <is>
          <t>Saison régulière</t>
        </is>
      </c>
      <c r="F11" s="9" t="n">
        <v>10</v>
      </c>
      <c r="G11" s="9" t="inlineStr">
        <is>
          <t>Ligue 1 – Journée 10</t>
        </is>
      </c>
      <c r="H11" s="10" t="n">
        <v>46332</v>
      </c>
      <c r="I11" s="10" t="n">
        <v>46334</v>
      </c>
      <c r="J11" s="11" t="n"/>
      <c r="K11" s="9" t="inlineStr">
        <is>
          <t>Europe/Paris</t>
        </is>
      </c>
      <c r="L11" s="9" t="n"/>
      <c r="M11" s="9" t="inlineStr">
        <is>
          <t>France</t>
        </is>
      </c>
      <c r="N11" s="9" t="inlineStr">
        <is>
          <t>Hommes</t>
        </is>
      </c>
      <c r="O11" s="9" t="inlineStr">
        <is>
          <t>Officiel</t>
        </is>
      </c>
      <c r="P11" s="9" t="inlineStr">
        <is>
          <t>Oui</t>
        </is>
      </c>
      <c r="Q11" s="9" t="inlineStr">
        <is>
          <t>https://ligue1.com/fr/articles/l1_article_5839-programmation-tv-j10-j11-ligue-1-2026-2027</t>
        </is>
      </c>
      <c r="R11" s="10" t="n">
        <v>46311</v>
      </c>
      <c r="S11" s="9" t="n"/>
      <c r="T11" s="9">
        <f>IF(H11="","",IF(MAX(H11,I11)&lt;TODAY(),"Terminé",IF(H11&lt;=TODAY(),"En cours","À venir")))</f>
        <v/>
      </c>
    </row>
    <row r="12">
      <c r="A12" s="9" t="inlineStr">
        <is>
          <t>L1-2627-011</t>
        </is>
      </c>
      <c r="B12" s="9" t="inlineStr">
        <is>
          <t>Football</t>
        </is>
      </c>
      <c r="C12" s="9" t="inlineStr">
        <is>
          <t>Ligue 1</t>
        </is>
      </c>
      <c r="D12" s="9" t="inlineStr">
        <is>
          <t>2026-2027</t>
        </is>
      </c>
      <c r="E12" s="9" t="inlineStr">
        <is>
          <t>Saison régulière</t>
        </is>
      </c>
      <c r="F12" s="9" t="n">
        <v>11</v>
      </c>
      <c r="G12" s="9" t="inlineStr">
        <is>
          <t>Ligue 1 – Journée 11</t>
        </is>
      </c>
      <c r="H12" s="10" t="n">
        <v>46346</v>
      </c>
      <c r="I12" s="10" t="n">
        <v>46348</v>
      </c>
      <c r="J12" s="11" t="n"/>
      <c r="K12" s="9" t="inlineStr">
        <is>
          <t>Europe/Paris</t>
        </is>
      </c>
      <c r="L12" s="9" t="n"/>
      <c r="M12" s="9" t="inlineStr">
        <is>
          <t>France</t>
        </is>
      </c>
      <c r="N12" s="9" t="inlineStr">
        <is>
          <t>Hommes</t>
        </is>
      </c>
      <c r="O12" s="9" t="inlineStr">
        <is>
          <t>Provisoire</t>
        </is>
      </c>
      <c r="P12" s="9" t="inlineStr">
        <is>
          <t>Oui</t>
        </is>
      </c>
      <c r="Q12" s="9" t="inlineStr">
        <is>
          <t>https://ligue1.com/fr/articles/l1_article_5839-programmation-tv-j10-j11-ligue-1-2026-2027</t>
        </is>
      </c>
      <c r="R12" s="10" t="n">
        <v>46311</v>
      </c>
      <c r="S12" s="9" t="inlineStr">
        <is>
          <t>Programmation TV publiée (J10-J11) ; jours exacts non vérifiés</t>
        </is>
      </c>
      <c r="T12" s="9">
        <f>IF(H12="","",IF(MAX(H12,I12)&lt;TODAY(),"Terminé",IF(H12&lt;=TODAY(),"En cours","À venir")))</f>
        <v/>
      </c>
    </row>
    <row r="13">
      <c r="A13" s="9" t="inlineStr">
        <is>
          <t>L1-2627-012</t>
        </is>
      </c>
      <c r="B13" s="9" t="inlineStr">
        <is>
          <t>Football</t>
        </is>
      </c>
      <c r="C13" s="9" t="inlineStr">
        <is>
          <t>Ligue 1</t>
        </is>
      </c>
      <c r="D13" s="9" t="inlineStr">
        <is>
          <t>2026-2027</t>
        </is>
      </c>
      <c r="E13" s="9" t="inlineStr">
        <is>
          <t>Saison régulière</t>
        </is>
      </c>
      <c r="F13" s="9" t="n">
        <v>12</v>
      </c>
      <c r="G13" s="9" t="inlineStr">
        <is>
          <t>Ligue 1 – Journée 12</t>
        </is>
      </c>
      <c r="H13" s="10" t="n">
        <v>46353</v>
      </c>
      <c r="I13" s="10" t="n">
        <v>46355</v>
      </c>
      <c r="J13" s="11" t="n"/>
      <c r="K13" s="9" t="inlineStr">
        <is>
          <t>Europe/Paris</t>
        </is>
      </c>
      <c r="L13" s="9" t="n"/>
      <c r="M13" s="9" t="inlineStr">
        <is>
          <t>France</t>
        </is>
      </c>
      <c r="N13" s="9" t="inlineStr">
        <is>
          <t>Hommes</t>
        </is>
      </c>
      <c r="O13" s="9" t="inlineStr">
        <is>
          <t>Provisoire</t>
        </is>
      </c>
      <c r="P13" s="9" t="inlineStr">
        <is>
          <t>Oui</t>
        </is>
      </c>
      <c r="Q13" s="9" t="inlineStr">
        <is>
          <t>https://www.lfp.fr/assets/L1_MD_2627_CALENDRIER_SOMBRE_920e8f5afd.pdf</t>
        </is>
      </c>
      <c r="R13" s="10" t="n">
        <v>46311</v>
      </c>
      <c r="S13" s="9" t="inlineStr">
        <is>
          <t>Programmation TV non publiée</t>
        </is>
      </c>
      <c r="T13" s="9">
        <f>IF(H13="","",IF(MAX(H13,I13)&lt;TODAY(),"Terminé",IF(H13&lt;=TODAY(),"En cours","À venir")))</f>
        <v/>
      </c>
    </row>
    <row r="14">
      <c r="A14" s="9" t="inlineStr">
        <is>
          <t>L1-2627-013</t>
        </is>
      </c>
      <c r="B14" s="9" t="inlineStr">
        <is>
          <t>Football</t>
        </is>
      </c>
      <c r="C14" s="9" t="inlineStr">
        <is>
          <t>Ligue 1</t>
        </is>
      </c>
      <c r="D14" s="9" t="inlineStr">
        <is>
          <t>2026-2027</t>
        </is>
      </c>
      <c r="E14" s="9" t="inlineStr">
        <is>
          <t>Saison régulière</t>
        </is>
      </c>
      <c r="F14" s="9" t="n">
        <v>13</v>
      </c>
      <c r="G14" s="9" t="inlineStr">
        <is>
          <t>Ligue 1 – Journée 13</t>
        </is>
      </c>
      <c r="H14" s="10" t="n">
        <v>46360</v>
      </c>
      <c r="I14" s="10" t="n">
        <v>46362</v>
      </c>
      <c r="J14" s="11" t="n"/>
      <c r="K14" s="9" t="inlineStr">
        <is>
          <t>Europe/Paris</t>
        </is>
      </c>
      <c r="L14" s="9" t="n"/>
      <c r="M14" s="9" t="inlineStr">
        <is>
          <t>France</t>
        </is>
      </c>
      <c r="N14" s="9" t="inlineStr">
        <is>
          <t>Hommes</t>
        </is>
      </c>
      <c r="O14" s="9" t="inlineStr">
        <is>
          <t>Provisoire</t>
        </is>
      </c>
      <c r="P14" s="9" t="inlineStr">
        <is>
          <t>Oui</t>
        </is>
      </c>
      <c r="Q14" s="9" t="inlineStr">
        <is>
          <t>https://www.lfp.fr/assets/L1_MD_2627_CALENDRIER_SOMBRE_920e8f5afd.pdf</t>
        </is>
      </c>
      <c r="R14" s="10" t="n">
        <v>46311</v>
      </c>
      <c r="S14" s="9" t="inlineStr">
        <is>
          <t>Programmation TV non publiée</t>
        </is>
      </c>
      <c r="T14" s="9">
        <f>IF(H14="","",IF(MAX(H14,I14)&lt;TODAY(),"Terminé",IF(H14&lt;=TODAY(),"En cours","À venir")))</f>
        <v/>
      </c>
    </row>
    <row r="15">
      <c r="A15" s="9" t="inlineStr">
        <is>
          <t>L1-2627-014</t>
        </is>
      </c>
      <c r="B15" s="9" t="inlineStr">
        <is>
          <t>Football</t>
        </is>
      </c>
      <c r="C15" s="9" t="inlineStr">
        <is>
          <t>Ligue 1</t>
        </is>
      </c>
      <c r="D15" s="9" t="inlineStr">
        <is>
          <t>2026-2027</t>
        </is>
      </c>
      <c r="E15" s="9" t="inlineStr">
        <is>
          <t>Saison régulière</t>
        </is>
      </c>
      <c r="F15" s="9" t="n">
        <v>14</v>
      </c>
      <c r="G15" s="9" t="inlineStr">
        <is>
          <t>Ligue 1 – Journée 14</t>
        </is>
      </c>
      <c r="H15" s="10" t="n">
        <v>46367</v>
      </c>
      <c r="I15" s="10" t="n">
        <v>46369</v>
      </c>
      <c r="J15" s="11" t="n"/>
      <c r="K15" s="9" t="inlineStr">
        <is>
          <t>Europe/Paris</t>
        </is>
      </c>
      <c r="L15" s="9" t="n"/>
      <c r="M15" s="9" t="inlineStr">
        <is>
          <t>France</t>
        </is>
      </c>
      <c r="N15" s="9" t="inlineStr">
        <is>
          <t>Hommes</t>
        </is>
      </c>
      <c r="O15" s="9" t="inlineStr">
        <is>
          <t>Provisoire</t>
        </is>
      </c>
      <c r="P15" s="9" t="inlineStr">
        <is>
          <t>Oui</t>
        </is>
      </c>
      <c r="Q15" s="9" t="inlineStr">
        <is>
          <t>https://www.lfp.fr/assets/L1_MD_2627_CALENDRIER_SOMBRE_920e8f5afd.pdf</t>
        </is>
      </c>
      <c r="R15" s="10" t="n">
        <v>46311</v>
      </c>
      <c r="S15" s="9" t="inlineStr">
        <is>
          <t>Dernière journée de 2026 (trêve hivernale) ; programmation TV non publiée</t>
        </is>
      </c>
      <c r="T15" s="9">
        <f>IF(H15="","",IF(MAX(H15,I15)&lt;TODAY(),"Terminé",IF(H15&lt;=TODAY(),"En cours","À venir")))</f>
        <v/>
      </c>
    </row>
    <row r="16">
      <c r="A16" s="9" t="inlineStr">
        <is>
          <t>L1-2627-015</t>
        </is>
      </c>
      <c r="B16" s="9" t="inlineStr">
        <is>
          <t>Football</t>
        </is>
      </c>
      <c r="C16" s="9" t="inlineStr">
        <is>
          <t>Ligue 1</t>
        </is>
      </c>
      <c r="D16" s="9" t="inlineStr">
        <is>
          <t>2026-2027</t>
        </is>
      </c>
      <c r="E16" s="9" t="inlineStr">
        <is>
          <t>Saison régulière</t>
        </is>
      </c>
      <c r="F16" s="9" t="n">
        <v>15</v>
      </c>
      <c r="G16" s="9" t="inlineStr">
        <is>
          <t>Ligue 1 – Journée 15</t>
        </is>
      </c>
      <c r="H16" s="10" t="n">
        <v>46389</v>
      </c>
      <c r="I16" s="10" t="n">
        <v>46390</v>
      </c>
      <c r="J16" s="11" t="n"/>
      <c r="K16" s="9" t="inlineStr">
        <is>
          <t>Europe/Paris</t>
        </is>
      </c>
      <c r="L16" s="9" t="n"/>
      <c r="M16" s="9" t="inlineStr">
        <is>
          <t>France</t>
        </is>
      </c>
      <c r="N16" s="9" t="inlineStr">
        <is>
          <t>Hommes</t>
        </is>
      </c>
      <c r="O16" s="9" t="inlineStr">
        <is>
          <t>Provisoire</t>
        </is>
      </c>
      <c r="P16" s="9" t="inlineStr">
        <is>
          <t>Oui</t>
        </is>
      </c>
      <c r="Q16" s="9" t="inlineStr">
        <is>
          <t>https://www.lfp.fr/assets/L1_MD_2627_CALENDRIER_SOMBRE_920e8f5afd.pdf</t>
        </is>
      </c>
      <c r="R16" s="10" t="n">
        <v>46311</v>
      </c>
      <c r="S16" s="9" t="inlineStr">
        <is>
          <t>Reprise après la trêve ; week-end du 2 janvier (LFP) ; programmation TV non publiée</t>
        </is>
      </c>
      <c r="T16" s="9">
        <f>IF(H16="","",IF(MAX(H16,I16)&lt;TODAY(),"Terminé",IF(H16&lt;=TODAY(),"En cours","À venir")))</f>
        <v/>
      </c>
    </row>
    <row r="17">
      <c r="A17" s="9" t="inlineStr">
        <is>
          <t>L1-2627-016</t>
        </is>
      </c>
      <c r="B17" s="9" t="inlineStr">
        <is>
          <t>Football</t>
        </is>
      </c>
      <c r="C17" s="9" t="inlineStr">
        <is>
          <t>Ligue 1</t>
        </is>
      </c>
      <c r="D17" s="9" t="inlineStr">
        <is>
          <t>2026-2027</t>
        </is>
      </c>
      <c r="E17" s="9" t="inlineStr">
        <is>
          <t>Saison régulière</t>
        </is>
      </c>
      <c r="F17" s="9" t="n">
        <v>16</v>
      </c>
      <c r="G17" s="9" t="inlineStr">
        <is>
          <t>Ligue 1 – Journée 16</t>
        </is>
      </c>
      <c r="H17" s="10" t="n">
        <v>46402</v>
      </c>
      <c r="I17" s="10" t="n">
        <v>46404</v>
      </c>
      <c r="J17" s="11" t="n"/>
      <c r="K17" s="9" t="inlineStr">
        <is>
          <t>Europe/Paris</t>
        </is>
      </c>
      <c r="L17" s="9" t="n"/>
      <c r="M17" s="9" t="inlineStr">
        <is>
          <t>France</t>
        </is>
      </c>
      <c r="N17" s="9" t="inlineStr">
        <is>
          <t>Hommes</t>
        </is>
      </c>
      <c r="O17" s="9" t="inlineStr">
        <is>
          <t>Provisoire</t>
        </is>
      </c>
      <c r="P17" s="9" t="inlineStr">
        <is>
          <t>Oui</t>
        </is>
      </c>
      <c r="Q17" s="9" t="inlineStr">
        <is>
          <t>https://www.lfp.fr/assets/L1_MD_2627_CALENDRIER_SOMBRE_920e8f5afd.pdf</t>
        </is>
      </c>
      <c r="R17" s="10" t="n">
        <v>46311</v>
      </c>
      <c r="S17" s="9" t="inlineStr">
        <is>
          <t>Programmation TV non publiée</t>
        </is>
      </c>
      <c r="T17" s="9">
        <f>IF(H17="","",IF(MAX(H17,I17)&lt;TODAY(),"Terminé",IF(H17&lt;=TODAY(),"En cours","À venir")))</f>
        <v/>
      </c>
    </row>
    <row r="18">
      <c r="A18" s="9" t="inlineStr">
        <is>
          <t>L1-2627-017</t>
        </is>
      </c>
      <c r="B18" s="9" t="inlineStr">
        <is>
          <t>Football</t>
        </is>
      </c>
      <c r="C18" s="9" t="inlineStr">
        <is>
          <t>Ligue 1</t>
        </is>
      </c>
      <c r="D18" s="9" t="inlineStr">
        <is>
          <t>2026-2027</t>
        </is>
      </c>
      <c r="E18" s="9" t="inlineStr">
        <is>
          <t>Saison régulière</t>
        </is>
      </c>
      <c r="F18" s="9" t="n">
        <v>17</v>
      </c>
      <c r="G18" s="9" t="inlineStr">
        <is>
          <t>Ligue 1 – Journée 17</t>
        </is>
      </c>
      <c r="H18" s="10" t="n">
        <v>46409</v>
      </c>
      <c r="I18" s="10" t="n">
        <v>46411</v>
      </c>
      <c r="J18" s="11" t="n"/>
      <c r="K18" s="9" t="inlineStr">
        <is>
          <t>Europe/Paris</t>
        </is>
      </c>
      <c r="L18" s="9" t="n"/>
      <c r="M18" s="9" t="inlineStr">
        <is>
          <t>France</t>
        </is>
      </c>
      <c r="N18" s="9" t="inlineStr">
        <is>
          <t>Hommes</t>
        </is>
      </c>
      <c r="O18" s="9" t="inlineStr">
        <is>
          <t>Provisoire</t>
        </is>
      </c>
      <c r="P18" s="9" t="inlineStr">
        <is>
          <t>Oui</t>
        </is>
      </c>
      <c r="Q18" s="9" t="inlineStr">
        <is>
          <t>https://www.lfp.fr/assets/L1_MD_2627_CALENDRIER_SOMBRE_920e8f5afd.pdf</t>
        </is>
      </c>
      <c r="R18" s="10" t="n">
        <v>46311</v>
      </c>
      <c r="S18" s="9" t="inlineStr">
        <is>
          <t>Programmation TV non publiée</t>
        </is>
      </c>
      <c r="T18" s="9">
        <f>IF(H18="","",IF(MAX(H18,I18)&lt;TODAY(),"Terminé",IF(H18&lt;=TODAY(),"En cours","À venir")))</f>
        <v/>
      </c>
    </row>
    <row r="19">
      <c r="A19" s="9" t="inlineStr">
        <is>
          <t>L1-2627-018</t>
        </is>
      </c>
      <c r="B19" s="9" t="inlineStr">
        <is>
          <t>Football</t>
        </is>
      </c>
      <c r="C19" s="9" t="inlineStr">
        <is>
          <t>Ligue 1</t>
        </is>
      </c>
      <c r="D19" s="9" t="inlineStr">
        <is>
          <t>2026-2027</t>
        </is>
      </c>
      <c r="E19" s="9" t="inlineStr">
        <is>
          <t>Saison régulière</t>
        </is>
      </c>
      <c r="F19" s="9" t="n">
        <v>18</v>
      </c>
      <c r="G19" s="9" t="inlineStr">
        <is>
          <t>Ligue 1 – Journée 18</t>
        </is>
      </c>
      <c r="H19" s="10" t="n">
        <v>46416</v>
      </c>
      <c r="I19" s="10" t="n">
        <v>46418</v>
      </c>
      <c r="J19" s="11" t="n"/>
      <c r="K19" s="9" t="inlineStr">
        <is>
          <t>Europe/Paris</t>
        </is>
      </c>
      <c r="L19" s="9" t="n"/>
      <c r="M19" s="9" t="inlineStr">
        <is>
          <t>France</t>
        </is>
      </c>
      <c r="N19" s="9" t="inlineStr">
        <is>
          <t>Hommes</t>
        </is>
      </c>
      <c r="O19" s="9" t="inlineStr">
        <is>
          <t>Provisoire</t>
        </is>
      </c>
      <c r="P19" s="9" t="inlineStr">
        <is>
          <t>Oui</t>
        </is>
      </c>
      <c r="Q19" s="9" t="inlineStr">
        <is>
          <t>https://www.lfp.fr/assets/L1_MD_2627_CALENDRIER_SOMBRE_920e8f5afd.pdf</t>
        </is>
      </c>
      <c r="R19" s="10" t="n">
        <v>46311</v>
      </c>
      <c r="S19" s="9" t="inlineStr">
        <is>
          <t>Programmation TV non publiée</t>
        </is>
      </c>
      <c r="T19" s="9">
        <f>IF(H19="","",IF(MAX(H19,I19)&lt;TODAY(),"Terminé",IF(H19&lt;=TODAY(),"En cours","À venir")))</f>
        <v/>
      </c>
    </row>
    <row r="20">
      <c r="A20" s="9" t="inlineStr">
        <is>
          <t>L1-2627-019</t>
        </is>
      </c>
      <c r="B20" s="9" t="inlineStr">
        <is>
          <t>Football</t>
        </is>
      </c>
      <c r="C20" s="9" t="inlineStr">
        <is>
          <t>Ligue 1</t>
        </is>
      </c>
      <c r="D20" s="9" t="inlineStr">
        <is>
          <t>2026-2027</t>
        </is>
      </c>
      <c r="E20" s="9" t="inlineStr">
        <is>
          <t>Saison régulière</t>
        </is>
      </c>
      <c r="F20" s="9" t="n">
        <v>19</v>
      </c>
      <c r="G20" s="9" t="inlineStr">
        <is>
          <t>Ligue 1 – Journée 19</t>
        </is>
      </c>
      <c r="H20" s="10" t="n">
        <v>46423</v>
      </c>
      <c r="I20" s="10" t="n">
        <v>46425</v>
      </c>
      <c r="J20" s="11" t="n"/>
      <c r="K20" s="9" t="inlineStr">
        <is>
          <t>Europe/Paris</t>
        </is>
      </c>
      <c r="L20" s="9" t="n"/>
      <c r="M20" s="9" t="inlineStr">
        <is>
          <t>France</t>
        </is>
      </c>
      <c r="N20" s="9" t="inlineStr">
        <is>
          <t>Hommes</t>
        </is>
      </c>
      <c r="O20" s="9" t="inlineStr">
        <is>
          <t>Provisoire</t>
        </is>
      </c>
      <c r="P20" s="9" t="inlineStr">
        <is>
          <t>Oui</t>
        </is>
      </c>
      <c r="Q20" s="9" t="inlineStr">
        <is>
          <t>https://www.lfp.fr/assets/L1_MD_2627_CALENDRIER_SOMBRE_920e8f5afd.pdf</t>
        </is>
      </c>
      <c r="R20" s="10" t="n">
        <v>46311</v>
      </c>
      <c r="S20" s="9" t="inlineStr">
        <is>
          <t>Programmation TV non publiée</t>
        </is>
      </c>
      <c r="T20" s="9">
        <f>IF(H20="","",IF(MAX(H20,I20)&lt;TODAY(),"Terminé",IF(H20&lt;=TODAY(),"En cours","À venir")))</f>
        <v/>
      </c>
    </row>
    <row r="21">
      <c r="A21" s="9" t="inlineStr">
        <is>
          <t>L1-2627-020</t>
        </is>
      </c>
      <c r="B21" s="9" t="inlineStr">
        <is>
          <t>Football</t>
        </is>
      </c>
      <c r="C21" s="9" t="inlineStr">
        <is>
          <t>Ligue 1</t>
        </is>
      </c>
      <c r="D21" s="9" t="inlineStr">
        <is>
          <t>2026-2027</t>
        </is>
      </c>
      <c r="E21" s="9" t="inlineStr">
        <is>
          <t>Saison régulière</t>
        </is>
      </c>
      <c r="F21" s="9" t="n">
        <v>20</v>
      </c>
      <c r="G21" s="9" t="inlineStr">
        <is>
          <t>Ligue 1 – Journée 20</t>
        </is>
      </c>
      <c r="H21" s="10" t="n">
        <v>46430</v>
      </c>
      <c r="I21" s="10" t="n">
        <v>46432</v>
      </c>
      <c r="J21" s="11" t="n"/>
      <c r="K21" s="9" t="inlineStr">
        <is>
          <t>Europe/Paris</t>
        </is>
      </c>
      <c r="L21" s="9" t="n"/>
      <c r="M21" s="9" t="inlineStr">
        <is>
          <t>France</t>
        </is>
      </c>
      <c r="N21" s="9" t="inlineStr">
        <is>
          <t>Hommes</t>
        </is>
      </c>
      <c r="O21" s="9" t="inlineStr">
        <is>
          <t>Provisoire</t>
        </is>
      </c>
      <c r="P21" s="9" t="inlineStr">
        <is>
          <t>Oui</t>
        </is>
      </c>
      <c r="Q21" s="9" t="inlineStr">
        <is>
          <t>https://www.lfp.fr/assets/L1_MD_2627_CALENDRIER_SOMBRE_920e8f5afd.pdf</t>
        </is>
      </c>
      <c r="R21" s="10" t="n">
        <v>46311</v>
      </c>
      <c r="S21" s="9" t="inlineStr">
        <is>
          <t>Programmation TV non publiée</t>
        </is>
      </c>
      <c r="T21" s="9">
        <f>IF(H21="","",IF(MAX(H21,I21)&lt;TODAY(),"Terminé",IF(H21&lt;=TODAY(),"En cours","À venir")))</f>
        <v/>
      </c>
    </row>
    <row r="22">
      <c r="A22" s="9" t="inlineStr">
        <is>
          <t>L1-2627-021</t>
        </is>
      </c>
      <c r="B22" s="9" t="inlineStr">
        <is>
          <t>Football</t>
        </is>
      </c>
      <c r="C22" s="9" t="inlineStr">
        <is>
          <t>Ligue 1</t>
        </is>
      </c>
      <c r="D22" s="9" t="inlineStr">
        <is>
          <t>2026-2027</t>
        </is>
      </c>
      <c r="E22" s="9" t="inlineStr">
        <is>
          <t>Saison régulière</t>
        </is>
      </c>
      <c r="F22" s="9" t="n">
        <v>21</v>
      </c>
      <c r="G22" s="9" t="inlineStr">
        <is>
          <t>Ligue 1 – Journée 21</t>
        </is>
      </c>
      <c r="H22" s="10" t="n">
        <v>46437</v>
      </c>
      <c r="I22" s="10" t="n">
        <v>46439</v>
      </c>
      <c r="J22" s="11" t="n"/>
      <c r="K22" s="9" t="inlineStr">
        <is>
          <t>Europe/Paris</t>
        </is>
      </c>
      <c r="L22" s="9" t="n"/>
      <c r="M22" s="9" t="inlineStr">
        <is>
          <t>France</t>
        </is>
      </c>
      <c r="N22" s="9" t="inlineStr">
        <is>
          <t>Hommes</t>
        </is>
      </c>
      <c r="O22" s="9" t="inlineStr">
        <is>
          <t>Provisoire</t>
        </is>
      </c>
      <c r="P22" s="9" t="inlineStr">
        <is>
          <t>Oui</t>
        </is>
      </c>
      <c r="Q22" s="9" t="inlineStr">
        <is>
          <t>https://www.lfp.fr/assets/L1_MD_2627_CALENDRIER_SOMBRE_920e8f5afd.pdf</t>
        </is>
      </c>
      <c r="R22" s="10" t="n">
        <v>46311</v>
      </c>
      <c r="S22" s="9" t="inlineStr">
        <is>
          <t>Programmation TV non publiée</t>
        </is>
      </c>
      <c r="T22" s="9">
        <f>IF(H22="","",IF(MAX(H22,I22)&lt;TODAY(),"Terminé",IF(H22&lt;=TODAY(),"En cours","À venir")))</f>
        <v/>
      </c>
    </row>
    <row r="23">
      <c r="A23" s="9" t="inlineStr">
        <is>
          <t>L1-2627-022</t>
        </is>
      </c>
      <c r="B23" s="9" t="inlineStr">
        <is>
          <t>Football</t>
        </is>
      </c>
      <c r="C23" s="9" t="inlineStr">
        <is>
          <t>Ligue 1</t>
        </is>
      </c>
      <c r="D23" s="9" t="inlineStr">
        <is>
          <t>2026-2027</t>
        </is>
      </c>
      <c r="E23" s="9" t="inlineStr">
        <is>
          <t>Saison régulière</t>
        </is>
      </c>
      <c r="F23" s="9" t="n">
        <v>22</v>
      </c>
      <c r="G23" s="9" t="inlineStr">
        <is>
          <t>Ligue 1 – Journée 22</t>
        </is>
      </c>
      <c r="H23" s="10" t="n">
        <v>46444</v>
      </c>
      <c r="I23" s="10" t="n">
        <v>46446</v>
      </c>
      <c r="J23" s="11" t="n"/>
      <c r="K23" s="9" t="inlineStr">
        <is>
          <t>Europe/Paris</t>
        </is>
      </c>
      <c r="L23" s="9" t="n"/>
      <c r="M23" s="9" t="inlineStr">
        <is>
          <t>France</t>
        </is>
      </c>
      <c r="N23" s="9" t="inlineStr">
        <is>
          <t>Hommes</t>
        </is>
      </c>
      <c r="O23" s="9" t="inlineStr">
        <is>
          <t>Provisoire</t>
        </is>
      </c>
      <c r="P23" s="9" t="inlineStr">
        <is>
          <t>Oui</t>
        </is>
      </c>
      <c r="Q23" s="9" t="inlineStr">
        <is>
          <t>https://www.lfp.fr/assets/L1_MD_2627_CALENDRIER_SOMBRE_920e8f5afd.pdf</t>
        </is>
      </c>
      <c r="R23" s="10" t="n">
        <v>46311</v>
      </c>
      <c r="S23" s="9" t="inlineStr">
        <is>
          <t>Programmation TV non publiée</t>
        </is>
      </c>
      <c r="T23" s="9">
        <f>IF(H23="","",IF(MAX(H23,I23)&lt;TODAY(),"Terminé",IF(H23&lt;=TODAY(),"En cours","À venir")))</f>
        <v/>
      </c>
    </row>
    <row r="24">
      <c r="A24" s="9" t="inlineStr">
        <is>
          <t>L1-2627-023</t>
        </is>
      </c>
      <c r="B24" s="9" t="inlineStr">
        <is>
          <t>Football</t>
        </is>
      </c>
      <c r="C24" s="9" t="inlineStr">
        <is>
          <t>Ligue 1</t>
        </is>
      </c>
      <c r="D24" s="9" t="inlineStr">
        <is>
          <t>2026-2027</t>
        </is>
      </c>
      <c r="E24" s="9" t="inlineStr">
        <is>
          <t>Saison régulière</t>
        </is>
      </c>
      <c r="F24" s="9" t="n">
        <v>23</v>
      </c>
      <c r="G24" s="9" t="inlineStr">
        <is>
          <t>Ligue 1 – Journée 23</t>
        </is>
      </c>
      <c r="H24" s="10" t="n">
        <v>46451</v>
      </c>
      <c r="I24" s="10" t="n">
        <v>46453</v>
      </c>
      <c r="J24" s="11" t="n"/>
      <c r="K24" s="9" t="inlineStr">
        <is>
          <t>Europe/Paris</t>
        </is>
      </c>
      <c r="L24" s="9" t="n"/>
      <c r="M24" s="9" t="inlineStr">
        <is>
          <t>France</t>
        </is>
      </c>
      <c r="N24" s="9" t="inlineStr">
        <is>
          <t>Hommes</t>
        </is>
      </c>
      <c r="O24" s="9" t="inlineStr">
        <is>
          <t>Provisoire</t>
        </is>
      </c>
      <c r="P24" s="9" t="inlineStr">
        <is>
          <t>Oui</t>
        </is>
      </c>
      <c r="Q24" s="9" t="inlineStr">
        <is>
          <t>https://www.lfp.fr/assets/L1_MD_2627_CALENDRIER_SOMBRE_920e8f5afd.pdf</t>
        </is>
      </c>
      <c r="R24" s="10" t="n">
        <v>46311</v>
      </c>
      <c r="S24" s="9" t="inlineStr">
        <is>
          <t>Programmation TV non publiée</t>
        </is>
      </c>
      <c r="T24" s="9">
        <f>IF(H24="","",IF(MAX(H24,I24)&lt;TODAY(),"Terminé",IF(H24&lt;=TODAY(),"En cours","À venir")))</f>
        <v/>
      </c>
    </row>
    <row r="25">
      <c r="A25" s="9" t="inlineStr">
        <is>
          <t>L1-2627-024</t>
        </is>
      </c>
      <c r="B25" s="9" t="inlineStr">
        <is>
          <t>Football</t>
        </is>
      </c>
      <c r="C25" s="9" t="inlineStr">
        <is>
          <t>Ligue 1</t>
        </is>
      </c>
      <c r="D25" s="9" t="inlineStr">
        <is>
          <t>2026-2027</t>
        </is>
      </c>
      <c r="E25" s="9" t="inlineStr">
        <is>
          <t>Saison régulière</t>
        </is>
      </c>
      <c r="F25" s="9" t="n">
        <v>24</v>
      </c>
      <c r="G25" s="9" t="inlineStr">
        <is>
          <t>Ligue 1 – Journée 24</t>
        </is>
      </c>
      <c r="H25" s="10" t="n">
        <v>46458</v>
      </c>
      <c r="I25" s="10" t="n">
        <v>46460</v>
      </c>
      <c r="J25" s="11" t="n"/>
      <c r="K25" s="9" t="inlineStr">
        <is>
          <t>Europe/Paris</t>
        </is>
      </c>
      <c r="L25" s="9" t="n"/>
      <c r="M25" s="9" t="inlineStr">
        <is>
          <t>France</t>
        </is>
      </c>
      <c r="N25" s="9" t="inlineStr">
        <is>
          <t>Hommes</t>
        </is>
      </c>
      <c r="O25" s="9" t="inlineStr">
        <is>
          <t>Provisoire</t>
        </is>
      </c>
      <c r="P25" s="9" t="inlineStr">
        <is>
          <t>Oui</t>
        </is>
      </c>
      <c r="Q25" s="9" t="inlineStr">
        <is>
          <t>https://www.lfp.fr/assets/L1_MD_2627_CALENDRIER_SOMBRE_920e8f5afd.pdf</t>
        </is>
      </c>
      <c r="R25" s="10" t="n">
        <v>46311</v>
      </c>
      <c r="S25" s="9" t="inlineStr">
        <is>
          <t>Programmation TV non publiée</t>
        </is>
      </c>
      <c r="T25" s="9">
        <f>IF(H25="","",IF(MAX(H25,I25)&lt;TODAY(),"Terminé",IF(H25&lt;=TODAY(),"En cours","À venir")))</f>
        <v/>
      </c>
    </row>
    <row r="26">
      <c r="A26" s="9" t="inlineStr">
        <is>
          <t>L1-2627-025</t>
        </is>
      </c>
      <c r="B26" s="9" t="inlineStr">
        <is>
          <t>Football</t>
        </is>
      </c>
      <c r="C26" s="9" t="inlineStr">
        <is>
          <t>Ligue 1</t>
        </is>
      </c>
      <c r="D26" s="9" t="inlineStr">
        <is>
          <t>2026-2027</t>
        </is>
      </c>
      <c r="E26" s="9" t="inlineStr">
        <is>
          <t>Saison régulière</t>
        </is>
      </c>
      <c r="F26" s="9" t="n">
        <v>25</v>
      </c>
      <c r="G26" s="9" t="inlineStr">
        <is>
          <t>Ligue 1 – Journée 25</t>
        </is>
      </c>
      <c r="H26" s="10" t="n">
        <v>46465</v>
      </c>
      <c r="I26" s="10" t="n">
        <v>46467</v>
      </c>
      <c r="J26" s="11" t="n"/>
      <c r="K26" s="9" t="inlineStr">
        <is>
          <t>Europe/Paris</t>
        </is>
      </c>
      <c r="L26" s="9" t="n"/>
      <c r="M26" s="9" t="inlineStr">
        <is>
          <t>France</t>
        </is>
      </c>
      <c r="N26" s="9" t="inlineStr">
        <is>
          <t>Hommes</t>
        </is>
      </c>
      <c r="O26" s="9" t="inlineStr">
        <is>
          <t>Provisoire</t>
        </is>
      </c>
      <c r="P26" s="9" t="inlineStr">
        <is>
          <t>Oui</t>
        </is>
      </c>
      <c r="Q26" s="9" t="inlineStr">
        <is>
          <t>https://www.lfp.fr/assets/L1_MD_2627_CALENDRIER_SOMBRE_920e8f5afd.pdf</t>
        </is>
      </c>
      <c r="R26" s="10" t="n">
        <v>46311</v>
      </c>
      <c r="S26" s="9" t="inlineStr">
        <is>
          <t>Programmation TV non publiée</t>
        </is>
      </c>
      <c r="T26" s="9">
        <f>IF(H26="","",IF(MAX(H26,I26)&lt;TODAY(),"Terminé",IF(H26&lt;=TODAY(),"En cours","À venir")))</f>
        <v/>
      </c>
    </row>
    <row r="27">
      <c r="A27" s="9" t="inlineStr">
        <is>
          <t>L1-2627-026</t>
        </is>
      </c>
      <c r="B27" s="9" t="inlineStr">
        <is>
          <t>Football</t>
        </is>
      </c>
      <c r="C27" s="9" t="inlineStr">
        <is>
          <t>Ligue 1</t>
        </is>
      </c>
      <c r="D27" s="9" t="inlineStr">
        <is>
          <t>2026-2027</t>
        </is>
      </c>
      <c r="E27" s="9" t="inlineStr">
        <is>
          <t>Saison régulière</t>
        </is>
      </c>
      <c r="F27" s="9" t="n">
        <v>26</v>
      </c>
      <c r="G27" s="9" t="inlineStr">
        <is>
          <t>Ligue 1 – Journée 26</t>
        </is>
      </c>
      <c r="H27" s="10" t="n">
        <v>46479</v>
      </c>
      <c r="I27" s="10" t="n">
        <v>46481</v>
      </c>
      <c r="J27" s="11" t="n"/>
      <c r="K27" s="9" t="inlineStr">
        <is>
          <t>Europe/Paris</t>
        </is>
      </c>
      <c r="L27" s="9" t="n"/>
      <c r="M27" s="9" t="inlineStr">
        <is>
          <t>France</t>
        </is>
      </c>
      <c r="N27" s="9" t="inlineStr">
        <is>
          <t>Hommes</t>
        </is>
      </c>
      <c r="O27" s="9" t="inlineStr">
        <is>
          <t>Provisoire</t>
        </is>
      </c>
      <c r="P27" s="9" t="inlineStr">
        <is>
          <t>Oui</t>
        </is>
      </c>
      <c r="Q27" s="9" t="inlineStr">
        <is>
          <t>https://www.lfp.fr/assets/L1_MD_2627_CALENDRIER_SOMBRE_920e8f5afd.pdf</t>
        </is>
      </c>
      <c r="R27" s="10" t="n">
        <v>46311</v>
      </c>
      <c r="S27" s="9" t="inlineStr">
        <is>
          <t>Programmation TV non publiée</t>
        </is>
      </c>
      <c r="T27" s="9">
        <f>IF(H27="","",IF(MAX(H27,I27)&lt;TODAY(),"Terminé",IF(H27&lt;=TODAY(),"En cours","À venir")))</f>
        <v/>
      </c>
    </row>
    <row r="28">
      <c r="A28" s="9" t="inlineStr">
        <is>
          <t>L1-2627-027</t>
        </is>
      </c>
      <c r="B28" s="9" t="inlineStr">
        <is>
          <t>Football</t>
        </is>
      </c>
      <c r="C28" s="9" t="inlineStr">
        <is>
          <t>Ligue 1</t>
        </is>
      </c>
      <c r="D28" s="9" t="inlineStr">
        <is>
          <t>2026-2027</t>
        </is>
      </c>
      <c r="E28" s="9" t="inlineStr">
        <is>
          <t>Saison régulière</t>
        </is>
      </c>
      <c r="F28" s="9" t="n">
        <v>27</v>
      </c>
      <c r="G28" s="9" t="inlineStr">
        <is>
          <t>Ligue 1 – Journée 27</t>
        </is>
      </c>
      <c r="H28" s="10" t="n">
        <v>46486</v>
      </c>
      <c r="I28" s="10" t="n">
        <v>46488</v>
      </c>
      <c r="J28" s="11" t="n"/>
      <c r="K28" s="9" t="inlineStr">
        <is>
          <t>Europe/Paris</t>
        </is>
      </c>
      <c r="L28" s="9" t="n"/>
      <c r="M28" s="9" t="inlineStr">
        <is>
          <t>France</t>
        </is>
      </c>
      <c r="N28" s="9" t="inlineStr">
        <is>
          <t>Hommes</t>
        </is>
      </c>
      <c r="O28" s="9" t="inlineStr">
        <is>
          <t>Provisoire</t>
        </is>
      </c>
      <c r="P28" s="9" t="inlineStr">
        <is>
          <t>Oui</t>
        </is>
      </c>
      <c r="Q28" s="9" t="inlineStr">
        <is>
          <t>https://www.lfp.fr/assets/L1_MD_2627_CALENDRIER_SOMBRE_920e8f5afd.pdf</t>
        </is>
      </c>
      <c r="R28" s="10" t="n">
        <v>46311</v>
      </c>
      <c r="S28" s="9" t="inlineStr">
        <is>
          <t>Programmation TV non publiée</t>
        </is>
      </c>
      <c r="T28" s="9">
        <f>IF(H28="","",IF(MAX(H28,I28)&lt;TODAY(),"Terminé",IF(H28&lt;=TODAY(),"En cours","À venir")))</f>
        <v/>
      </c>
    </row>
    <row r="29">
      <c r="A29" s="9" t="inlineStr">
        <is>
          <t>L1-2627-028</t>
        </is>
      </c>
      <c r="B29" s="9" t="inlineStr">
        <is>
          <t>Football</t>
        </is>
      </c>
      <c r="C29" s="9" t="inlineStr">
        <is>
          <t>Ligue 1</t>
        </is>
      </c>
      <c r="D29" s="9" t="inlineStr">
        <is>
          <t>2026-2027</t>
        </is>
      </c>
      <c r="E29" s="9" t="inlineStr">
        <is>
          <t>Saison régulière</t>
        </is>
      </c>
      <c r="F29" s="9" t="n">
        <v>28</v>
      </c>
      <c r="G29" s="9" t="inlineStr">
        <is>
          <t>Ligue 1 – Journée 28</t>
        </is>
      </c>
      <c r="H29" s="10" t="n">
        <v>46493</v>
      </c>
      <c r="I29" s="10" t="n">
        <v>46495</v>
      </c>
      <c r="J29" s="11" t="n"/>
      <c r="K29" s="9" t="inlineStr">
        <is>
          <t>Europe/Paris</t>
        </is>
      </c>
      <c r="L29" s="9" t="n"/>
      <c r="M29" s="9" t="inlineStr">
        <is>
          <t>France</t>
        </is>
      </c>
      <c r="N29" s="9" t="inlineStr">
        <is>
          <t>Hommes</t>
        </is>
      </c>
      <c r="O29" s="9" t="inlineStr">
        <is>
          <t>Provisoire</t>
        </is>
      </c>
      <c r="P29" s="9" t="inlineStr">
        <is>
          <t>Oui</t>
        </is>
      </c>
      <c r="Q29" s="9" t="inlineStr">
        <is>
          <t>https://www.lfp.fr/assets/L1_MD_2627_CALENDRIER_SOMBRE_920e8f5afd.pdf</t>
        </is>
      </c>
      <c r="R29" s="10" t="n">
        <v>46311</v>
      </c>
      <c r="S29" s="9" t="inlineStr">
        <is>
          <t>Programmation TV non publiée</t>
        </is>
      </c>
      <c r="T29" s="9">
        <f>IF(H29="","",IF(MAX(H29,I29)&lt;TODAY(),"Terminé",IF(H29&lt;=TODAY(),"En cours","À venir")))</f>
        <v/>
      </c>
    </row>
    <row r="30">
      <c r="A30" s="9" t="inlineStr">
        <is>
          <t>L1-2627-029</t>
        </is>
      </c>
      <c r="B30" s="9" t="inlineStr">
        <is>
          <t>Football</t>
        </is>
      </c>
      <c r="C30" s="9" t="inlineStr">
        <is>
          <t>Ligue 1</t>
        </is>
      </c>
      <c r="D30" s="9" t="inlineStr">
        <is>
          <t>2026-2027</t>
        </is>
      </c>
      <c r="E30" s="9" t="inlineStr">
        <is>
          <t>Saison régulière</t>
        </is>
      </c>
      <c r="F30" s="9" t="n">
        <v>29</v>
      </c>
      <c r="G30" s="9" t="inlineStr">
        <is>
          <t>Ligue 1 – Journée 29</t>
        </is>
      </c>
      <c r="H30" s="10" t="n">
        <v>46500</v>
      </c>
      <c r="I30" s="10" t="n">
        <v>46502</v>
      </c>
      <c r="J30" s="11" t="n"/>
      <c r="K30" s="9" t="inlineStr">
        <is>
          <t>Europe/Paris</t>
        </is>
      </c>
      <c r="L30" s="9" t="n"/>
      <c r="M30" s="9" t="inlineStr">
        <is>
          <t>France</t>
        </is>
      </c>
      <c r="N30" s="9" t="inlineStr">
        <is>
          <t>Hommes</t>
        </is>
      </c>
      <c r="O30" s="9" t="inlineStr">
        <is>
          <t>Provisoire</t>
        </is>
      </c>
      <c r="P30" s="9" t="inlineStr">
        <is>
          <t>Oui</t>
        </is>
      </c>
      <c r="Q30" s="9" t="inlineStr">
        <is>
          <t>https://www.lfp.fr/assets/L1_MD_2627_CALENDRIER_SOMBRE_920e8f5afd.pdf</t>
        </is>
      </c>
      <c r="R30" s="10" t="n">
        <v>46311</v>
      </c>
      <c r="S30" s="9" t="inlineStr">
        <is>
          <t>Programmation TV non publiée</t>
        </is>
      </c>
      <c r="T30" s="9">
        <f>IF(H30="","",IF(MAX(H30,I30)&lt;TODAY(),"Terminé",IF(H30&lt;=TODAY(),"En cours","À venir")))</f>
        <v/>
      </c>
    </row>
    <row r="31">
      <c r="A31" s="9" t="inlineStr">
        <is>
          <t>L1-2627-030</t>
        </is>
      </c>
      <c r="B31" s="9" t="inlineStr">
        <is>
          <t>Football</t>
        </is>
      </c>
      <c r="C31" s="9" t="inlineStr">
        <is>
          <t>Ligue 1</t>
        </is>
      </c>
      <c r="D31" s="9" t="inlineStr">
        <is>
          <t>2026-2027</t>
        </is>
      </c>
      <c r="E31" s="9" t="inlineStr">
        <is>
          <t>Saison régulière</t>
        </is>
      </c>
      <c r="F31" s="9" t="n">
        <v>30</v>
      </c>
      <c r="G31" s="9" t="inlineStr">
        <is>
          <t>Ligue 1 – Journée 30</t>
        </is>
      </c>
      <c r="H31" s="10" t="n">
        <v>46507</v>
      </c>
      <c r="I31" s="10" t="n">
        <v>46509</v>
      </c>
      <c r="J31" s="11" t="n"/>
      <c r="K31" s="9" t="inlineStr">
        <is>
          <t>Europe/Paris</t>
        </is>
      </c>
      <c r="L31" s="9" t="n"/>
      <c r="M31" s="9" t="inlineStr">
        <is>
          <t>France</t>
        </is>
      </c>
      <c r="N31" s="9" t="inlineStr">
        <is>
          <t>Hommes</t>
        </is>
      </c>
      <c r="O31" s="9" t="inlineStr">
        <is>
          <t>Provisoire</t>
        </is>
      </c>
      <c r="P31" s="9" t="inlineStr">
        <is>
          <t>Oui</t>
        </is>
      </c>
      <c r="Q31" s="9" t="inlineStr">
        <is>
          <t>https://www.lfp.fr/assets/L1_MD_2627_CALENDRIER_SOMBRE_920e8f5afd.pdf</t>
        </is>
      </c>
      <c r="R31" s="10" t="n">
        <v>46311</v>
      </c>
      <c r="S31" s="9" t="inlineStr">
        <is>
          <t>Programmation TV non publiée</t>
        </is>
      </c>
      <c r="T31" s="9">
        <f>IF(H31="","",IF(MAX(H31,I31)&lt;TODAY(),"Terminé",IF(H31&lt;=TODAY(),"En cours","À venir")))</f>
        <v/>
      </c>
    </row>
    <row r="32">
      <c r="A32" s="9" t="inlineStr">
        <is>
          <t>L1-2627-031</t>
        </is>
      </c>
      <c r="B32" s="9" t="inlineStr">
        <is>
          <t>Football</t>
        </is>
      </c>
      <c r="C32" s="9" t="inlineStr">
        <is>
          <t>Ligue 1</t>
        </is>
      </c>
      <c r="D32" s="9" t="inlineStr">
        <is>
          <t>2026-2027</t>
        </is>
      </c>
      <c r="E32" s="9" t="inlineStr">
        <is>
          <t>Saison régulière</t>
        </is>
      </c>
      <c r="F32" s="9" t="n">
        <v>31</v>
      </c>
      <c r="G32" s="9" t="inlineStr">
        <is>
          <t>Ligue 1 – Journée 31</t>
        </is>
      </c>
      <c r="H32" s="10" t="n">
        <v>46514</v>
      </c>
      <c r="I32" s="10" t="n">
        <v>46516</v>
      </c>
      <c r="J32" s="11" t="n"/>
      <c r="K32" s="9" t="inlineStr">
        <is>
          <t>Europe/Paris</t>
        </is>
      </c>
      <c r="L32" s="9" t="n"/>
      <c r="M32" s="9" t="inlineStr">
        <is>
          <t>France</t>
        </is>
      </c>
      <c r="N32" s="9" t="inlineStr">
        <is>
          <t>Hommes</t>
        </is>
      </c>
      <c r="O32" s="9" t="inlineStr">
        <is>
          <t>Provisoire</t>
        </is>
      </c>
      <c r="P32" s="9" t="inlineStr">
        <is>
          <t>Oui</t>
        </is>
      </c>
      <c r="Q32" s="9" t="inlineStr">
        <is>
          <t>https://www.lfp.fr/assets/L1_MD_2627_CALENDRIER_SOMBRE_920e8f5afd.pdf</t>
        </is>
      </c>
      <c r="R32" s="10" t="n">
        <v>46311</v>
      </c>
      <c r="S32" s="9" t="inlineStr">
        <is>
          <t>Programmation TV non publiée</t>
        </is>
      </c>
      <c r="T32" s="9">
        <f>IF(H32="","",IF(MAX(H32,I32)&lt;TODAY(),"Terminé",IF(H32&lt;=TODAY(),"En cours","À venir")))</f>
        <v/>
      </c>
    </row>
    <row r="33">
      <c r="A33" s="9" t="inlineStr">
        <is>
          <t>L1-2627-032</t>
        </is>
      </c>
      <c r="B33" s="9" t="inlineStr">
        <is>
          <t>Football</t>
        </is>
      </c>
      <c r="C33" s="9" t="inlineStr">
        <is>
          <t>Ligue 1</t>
        </is>
      </c>
      <c r="D33" s="9" t="inlineStr">
        <is>
          <t>2026-2027</t>
        </is>
      </c>
      <c r="E33" s="9" t="inlineStr">
        <is>
          <t>Saison régulière</t>
        </is>
      </c>
      <c r="F33" s="9" t="n">
        <v>32</v>
      </c>
      <c r="G33" s="9" t="inlineStr">
        <is>
          <t>Ligue 1 – Journée 32</t>
        </is>
      </c>
      <c r="H33" s="10" t="n">
        <v>46521</v>
      </c>
      <c r="I33" s="10" t="n">
        <v>46523</v>
      </c>
      <c r="J33" s="11" t="n"/>
      <c r="K33" s="9" t="inlineStr">
        <is>
          <t>Europe/Paris</t>
        </is>
      </c>
      <c r="L33" s="9" t="n"/>
      <c r="M33" s="9" t="inlineStr">
        <is>
          <t>France</t>
        </is>
      </c>
      <c r="N33" s="9" t="inlineStr">
        <is>
          <t>Hommes</t>
        </is>
      </c>
      <c r="O33" s="9" t="inlineStr">
        <is>
          <t>Provisoire</t>
        </is>
      </c>
      <c r="P33" s="9" t="inlineStr">
        <is>
          <t>Oui</t>
        </is>
      </c>
      <c r="Q33" s="9" t="inlineStr">
        <is>
          <t>https://www.lfp.fr/assets/L1_MD_2627_CALENDRIER_SOMBRE_920e8f5afd.pdf</t>
        </is>
      </c>
      <c r="R33" s="10" t="n">
        <v>46311</v>
      </c>
      <c r="S33" s="9" t="inlineStr">
        <is>
          <t>Calendrier LFP : dimanche 16 mai (week-end de Pentecôte) ; programmation TV non publiée</t>
        </is>
      </c>
      <c r="T33" s="9">
        <f>IF(H33="","",IF(MAX(H33,I33)&lt;TODAY(),"Terminé",IF(H33&lt;=TODAY(),"En cours","À venir")))</f>
        <v/>
      </c>
    </row>
    <row r="34">
      <c r="A34" s="9" t="inlineStr">
        <is>
          <t>L1-2627-033</t>
        </is>
      </c>
      <c r="B34" s="9" t="inlineStr">
        <is>
          <t>Football</t>
        </is>
      </c>
      <c r="C34" s="9" t="inlineStr">
        <is>
          <t>Ligue 1</t>
        </is>
      </c>
      <c r="D34" s="9" t="inlineStr">
        <is>
          <t>2026-2027</t>
        </is>
      </c>
      <c r="E34" s="9" t="inlineStr">
        <is>
          <t>Saison régulière</t>
        </is>
      </c>
      <c r="F34" s="9" t="n">
        <v>33</v>
      </c>
      <c r="G34" s="9" t="inlineStr">
        <is>
          <t>Ligue 1 – Journée 33</t>
        </is>
      </c>
      <c r="H34" s="10" t="n">
        <v>46529</v>
      </c>
      <c r="I34" s="10" t="n">
        <v>46529</v>
      </c>
      <c r="J34" s="11" t="n"/>
      <c r="K34" s="9" t="inlineStr">
        <is>
          <t>Europe/Paris</t>
        </is>
      </c>
      <c r="L34" s="9" t="n"/>
      <c r="M34" s="9" t="inlineStr">
        <is>
          <t>France</t>
        </is>
      </c>
      <c r="N34" s="9" t="inlineStr">
        <is>
          <t>Hommes</t>
        </is>
      </c>
      <c r="O34" s="9" t="inlineStr">
        <is>
          <t>Officiel</t>
        </is>
      </c>
      <c r="P34" s="9" t="inlineStr">
        <is>
          <t>Oui</t>
        </is>
      </c>
      <c r="Q34" s="9" t="inlineStr">
        <is>
          <t>https://ligue1.com/fr/articles/l1_article_5284-ligue-1-mc-donald-s-le-calendrier-de-la-saison-26-27</t>
        </is>
      </c>
      <c r="R34" s="10" t="n">
        <v>46311</v>
      </c>
      <c r="S34" s="9" t="inlineStr">
        <is>
          <t>Multiplex le samedi ; horaire non vérifié</t>
        </is>
      </c>
      <c r="T34" s="9">
        <f>IF(H34="","",IF(MAX(H34,I34)&lt;TODAY(),"Terminé",IF(H34&lt;=TODAY(),"En cours","À venir")))</f>
        <v/>
      </c>
    </row>
    <row r="35">
      <c r="A35" s="9" t="inlineStr">
        <is>
          <t>L1-2627-034</t>
        </is>
      </c>
      <c r="B35" s="9" t="inlineStr">
        <is>
          <t>Football</t>
        </is>
      </c>
      <c r="C35" s="9" t="inlineStr">
        <is>
          <t>Ligue 1</t>
        </is>
      </c>
      <c r="D35" s="9" t="inlineStr">
        <is>
          <t>2026-2027</t>
        </is>
      </c>
      <c r="E35" s="9" t="inlineStr">
        <is>
          <t>Saison régulière</t>
        </is>
      </c>
      <c r="F35" s="9" t="n">
        <v>34</v>
      </c>
      <c r="G35" s="9" t="inlineStr">
        <is>
          <t>Ligue 1 – Journée 34</t>
        </is>
      </c>
      <c r="H35" s="10" t="n">
        <v>46536</v>
      </c>
      <c r="I35" s="10" t="n">
        <v>46536</v>
      </c>
      <c r="J35" s="11" t="n"/>
      <c r="K35" s="9" t="inlineStr">
        <is>
          <t>Europe/Paris</t>
        </is>
      </c>
      <c r="L35" s="9" t="n"/>
      <c r="M35" s="9" t="inlineStr">
        <is>
          <t>France</t>
        </is>
      </c>
      <c r="N35" s="9" t="inlineStr">
        <is>
          <t>Hommes</t>
        </is>
      </c>
      <c r="O35" s="9" t="inlineStr">
        <is>
          <t>Officiel</t>
        </is>
      </c>
      <c r="P35" s="9" t="inlineStr">
        <is>
          <t>Oui</t>
        </is>
      </c>
      <c r="Q35" s="9" t="inlineStr">
        <is>
          <t>https://ligue1.com/fr/articles/l1_article_5284-ligue-1-mc-donald-s-le-calendrier-de-la-saison-26-27</t>
        </is>
      </c>
      <c r="R35" s="10" t="n">
        <v>46311</v>
      </c>
      <c r="S35" s="9" t="inlineStr">
        <is>
          <t>Dernière journée, multiplex le samedi ; horaire non vérifié</t>
        </is>
      </c>
      <c r="T35" s="9">
        <f>IF(H35="","",IF(MAX(H35,I35)&lt;TODAY(),"Terminé",IF(H35&lt;=TODAY(),"En cours","À venir")))</f>
        <v/>
      </c>
    </row>
    <row r="36">
      <c r="A36" s="9" t="inlineStr">
        <is>
          <t>L1-2627-035</t>
        </is>
      </c>
      <c r="B36" s="9" t="inlineStr">
        <is>
          <t>Football</t>
        </is>
      </c>
      <c r="C36" s="9" t="inlineStr">
        <is>
          <t>Ligue 1</t>
        </is>
      </c>
      <c r="D36" s="9" t="inlineStr">
        <is>
          <t>2026-2027</t>
        </is>
      </c>
      <c r="E36" s="9" t="inlineStr">
        <is>
          <t>Barrages</t>
        </is>
      </c>
      <c r="F36" s="9" t="n"/>
      <c r="G36" s="9" t="inlineStr">
        <is>
          <t>Ligue 1 – Barrage d'accession L1/L2</t>
        </is>
      </c>
      <c r="H36" s="10" t="n">
        <v>46541</v>
      </c>
      <c r="I36" s="10" t="n">
        <v>46544</v>
      </c>
      <c r="J36" s="11" t="n"/>
      <c r="K36" s="9" t="inlineStr">
        <is>
          <t>Europe/Paris</t>
        </is>
      </c>
      <c r="L36" s="9" t="n"/>
      <c r="M36" s="9" t="inlineStr">
        <is>
          <t>France</t>
        </is>
      </c>
      <c r="N36" s="9" t="inlineStr">
        <is>
          <t>Hommes</t>
        </is>
      </c>
      <c r="O36" s="9" t="inlineStr">
        <is>
          <t>Officiel</t>
        </is>
      </c>
      <c r="P36" s="9" t="inlineStr">
        <is>
          <t>Oui</t>
        </is>
      </c>
      <c r="Q36" s="9" t="inlineStr">
        <is>
          <t>https://www.lfp.fr/article/publication-du-calendrier-general-de-la-ligue-2-bkt-pour-la-saison-2026-2027</t>
        </is>
      </c>
      <c r="R36" s="10" t="n">
        <v>46311</v>
      </c>
      <c r="S36" s="9" t="inlineStr">
        <is>
          <t>16e de L1 vs vainqueur des play-offs L2 ; aller jeudi 3 juin, retour dimanche 6 juin</t>
        </is>
      </c>
      <c r="T36" s="9">
        <f>IF(H36="","",IF(MAX(H36,I36)&lt;TODAY(),"Terminé",IF(H36&lt;=TODAY(),"En cours","À venir")))</f>
        <v/>
      </c>
    </row>
    <row r="37">
      <c r="A37" s="9" t="inlineStr">
        <is>
          <t>L2-2627-001</t>
        </is>
      </c>
      <c r="B37" s="9" t="inlineStr">
        <is>
          <t>Football</t>
        </is>
      </c>
      <c r="C37" s="9" t="inlineStr">
        <is>
          <t>Ligue 2</t>
        </is>
      </c>
      <c r="D37" s="9" t="inlineStr">
        <is>
          <t>2026-2027</t>
        </is>
      </c>
      <c r="E37" s="9" t="inlineStr">
        <is>
          <t>Saison régulière</t>
        </is>
      </c>
      <c r="F37" s="9" t="n">
        <v>1</v>
      </c>
      <c r="G37" s="9" t="inlineStr">
        <is>
          <t>Ligue 2 – Journée 1</t>
        </is>
      </c>
      <c r="H37" s="10" t="n">
        <v>46242</v>
      </c>
      <c r="I37" s="10" t="n">
        <v>46242</v>
      </c>
      <c r="J37" s="11" t="n"/>
      <c r="K37" s="9" t="inlineStr">
        <is>
          <t>Europe/Paris</t>
        </is>
      </c>
      <c r="L37" s="9" t="n"/>
      <c r="M37" s="9" t="inlineStr">
        <is>
          <t>France</t>
        </is>
      </c>
      <c r="N37" s="9" t="inlineStr">
        <is>
          <t>Hommes</t>
        </is>
      </c>
      <c r="O37" s="9" t="inlineStr">
        <is>
          <t>Officiel</t>
        </is>
      </c>
      <c r="P37" s="9" t="inlineStr">
        <is>
          <t>Oui</t>
        </is>
      </c>
      <c r="Q37" s="9" t="inlineStr">
        <is>
          <t>https://ligue1.com/fr/articles/l1_article_5291-programmation-tv-des-2-premieres-journees-de-ligue-2-bkt</t>
        </is>
      </c>
      <c r="R37" s="10" t="n">
        <v>46311</v>
      </c>
      <c r="S37" s="9" t="inlineStr">
        <is>
          <t>Journée jouée le samedi (multiplex + affiche à 20h45)</t>
        </is>
      </c>
      <c r="T37" s="9">
        <f>IF(H37="","",IF(MAX(H37,I37)&lt;TODAY(),"Terminé",IF(H37&lt;=TODAY(),"En cours","À venir")))</f>
        <v/>
      </c>
    </row>
    <row r="38">
      <c r="A38" s="9" t="inlineStr">
        <is>
          <t>L2-2627-002</t>
        </is>
      </c>
      <c r="B38" s="9" t="inlineStr">
        <is>
          <t>Football</t>
        </is>
      </c>
      <c r="C38" s="9" t="inlineStr">
        <is>
          <t>Ligue 2</t>
        </is>
      </c>
      <c r="D38" s="9" t="inlineStr">
        <is>
          <t>2026-2027</t>
        </is>
      </c>
      <c r="E38" s="9" t="inlineStr">
        <is>
          <t>Saison régulière</t>
        </is>
      </c>
      <c r="F38" s="9" t="n">
        <v>2</v>
      </c>
      <c r="G38" s="9" t="inlineStr">
        <is>
          <t>Ligue 2 – Journée 2</t>
        </is>
      </c>
      <c r="H38" s="10" t="n">
        <v>46248</v>
      </c>
      <c r="I38" s="10" t="n">
        <v>46248</v>
      </c>
      <c r="J38" s="11" t="n"/>
      <c r="K38" s="9" t="inlineStr">
        <is>
          <t>Europe/Paris</t>
        </is>
      </c>
      <c r="L38" s="9" t="n"/>
      <c r="M38" s="9" t="inlineStr">
        <is>
          <t>France</t>
        </is>
      </c>
      <c r="N38" s="9" t="inlineStr">
        <is>
          <t>Hommes</t>
        </is>
      </c>
      <c r="O38" s="9" t="inlineStr">
        <is>
          <t>Officiel</t>
        </is>
      </c>
      <c r="P38" s="9" t="inlineStr">
        <is>
          <t>Oui</t>
        </is>
      </c>
      <c r="Q38" s="9" t="inlineStr">
        <is>
          <t>https://ligue1.com/fr/articles/l1_article_5291-programmation-tv-des-2-premieres-journees-de-ligue-2-bkt</t>
        </is>
      </c>
      <c r="R38" s="10" t="n">
        <v>46311</v>
      </c>
      <c r="S38" s="9" t="inlineStr">
        <is>
          <t>Multiplex avancé du samedi 15 au vendredi 14 août</t>
        </is>
      </c>
      <c r="T38" s="9">
        <f>IF(H38="","",IF(MAX(H38,I38)&lt;TODAY(),"Terminé",IF(H38&lt;=TODAY(),"En cours","À venir")))</f>
        <v/>
      </c>
    </row>
    <row r="39">
      <c r="A39" s="9" t="inlineStr">
        <is>
          <t>L2-2627-003</t>
        </is>
      </c>
      <c r="B39" s="9" t="inlineStr">
        <is>
          <t>Football</t>
        </is>
      </c>
      <c r="C39" s="9" t="inlineStr">
        <is>
          <t>Ligue 2</t>
        </is>
      </c>
      <c r="D39" s="9" t="inlineStr">
        <is>
          <t>2026-2027</t>
        </is>
      </c>
      <c r="E39" s="9" t="inlineStr">
        <is>
          <t>Saison régulière</t>
        </is>
      </c>
      <c r="F39" s="9" t="n">
        <v>3</v>
      </c>
      <c r="G39" s="9" t="inlineStr">
        <is>
          <t>Ligue 2 – Journée 3</t>
        </is>
      </c>
      <c r="H39" s="10" t="n">
        <v>46255</v>
      </c>
      <c r="I39" s="10" t="n">
        <v>46258</v>
      </c>
      <c r="J39" s="11" t="n"/>
      <c r="K39" s="9" t="inlineStr">
        <is>
          <t>Europe/Paris</t>
        </is>
      </c>
      <c r="L39" s="9" t="n"/>
      <c r="M39" s="9" t="inlineStr">
        <is>
          <t>France</t>
        </is>
      </c>
      <c r="N39" s="9" t="inlineStr">
        <is>
          <t>Hommes</t>
        </is>
      </c>
      <c r="O39" s="9" t="inlineStr">
        <is>
          <t>Officiel</t>
        </is>
      </c>
      <c r="P39" s="9" t="inlineStr">
        <is>
          <t>Oui</t>
        </is>
      </c>
      <c r="Q39" s="9" t="inlineStr">
        <is>
          <t>https://www.lfp.fr/article/ligue-2-bkt-le-calendrier-de-la-saison-2026-2027</t>
        </is>
      </c>
      <c r="R39" s="10" t="n">
        <v>46311</v>
      </c>
      <c r="S39" s="9" t="inlineStr">
        <is>
          <t>Week-end LFP (ven.–lun.) ; jours exacts par match non vérifiés</t>
        </is>
      </c>
      <c r="T39" s="9">
        <f>IF(H39="","",IF(MAX(H39,I39)&lt;TODAY(),"Terminé",IF(H39&lt;=TODAY(),"En cours","À venir")))</f>
        <v/>
      </c>
    </row>
    <row r="40">
      <c r="A40" s="9" t="inlineStr">
        <is>
          <t>L2-2627-004</t>
        </is>
      </c>
      <c r="B40" s="9" t="inlineStr">
        <is>
          <t>Football</t>
        </is>
      </c>
      <c r="C40" s="9" t="inlineStr">
        <is>
          <t>Ligue 2</t>
        </is>
      </c>
      <c r="D40" s="9" t="inlineStr">
        <is>
          <t>2026-2027</t>
        </is>
      </c>
      <c r="E40" s="9" t="inlineStr">
        <is>
          <t>Saison régulière</t>
        </is>
      </c>
      <c r="F40" s="9" t="n">
        <v>4</v>
      </c>
      <c r="G40" s="9" t="inlineStr">
        <is>
          <t>Ligue 2 – Journée 4</t>
        </is>
      </c>
      <c r="H40" s="10" t="n">
        <v>46262</v>
      </c>
      <c r="I40" s="10" t="n">
        <v>46265</v>
      </c>
      <c r="J40" s="11" t="n"/>
      <c r="K40" s="9" t="inlineStr">
        <is>
          <t>Europe/Paris</t>
        </is>
      </c>
      <c r="L40" s="9" t="n"/>
      <c r="M40" s="9" t="inlineStr">
        <is>
          <t>France</t>
        </is>
      </c>
      <c r="N40" s="9" t="inlineStr">
        <is>
          <t>Hommes</t>
        </is>
      </c>
      <c r="O40" s="9" t="inlineStr">
        <is>
          <t>Officiel</t>
        </is>
      </c>
      <c r="P40" s="9" t="inlineStr">
        <is>
          <t>Oui</t>
        </is>
      </c>
      <c r="Q40" s="9" t="inlineStr">
        <is>
          <t>https://www.lfp.fr/article/ligue-2-bkt-le-calendrier-de-la-saison-2026-2027</t>
        </is>
      </c>
      <c r="R40" s="10" t="n">
        <v>46311</v>
      </c>
      <c r="S40" s="9" t="inlineStr">
        <is>
          <t>Week-end LFP (ven.–lun.) ; jours exacts par match non vérifiés</t>
        </is>
      </c>
      <c r="T40" s="9">
        <f>IF(H40="","",IF(MAX(H40,I40)&lt;TODAY(),"Terminé",IF(H40&lt;=TODAY(),"En cours","À venir")))</f>
        <v/>
      </c>
    </row>
    <row r="41">
      <c r="A41" s="9" t="inlineStr">
        <is>
          <t>L2-2627-005</t>
        </is>
      </c>
      <c r="B41" s="9" t="inlineStr">
        <is>
          <t>Football</t>
        </is>
      </c>
      <c r="C41" s="9" t="inlineStr">
        <is>
          <t>Ligue 2</t>
        </is>
      </c>
      <c r="D41" s="9" t="inlineStr">
        <is>
          <t>2026-2027</t>
        </is>
      </c>
      <c r="E41" s="9" t="inlineStr">
        <is>
          <t>Saison régulière</t>
        </is>
      </c>
      <c r="F41" s="9" t="n">
        <v>5</v>
      </c>
      <c r="G41" s="9" t="inlineStr">
        <is>
          <t>Ligue 2 – Journée 5</t>
        </is>
      </c>
      <c r="H41" s="10" t="n">
        <v>46269</v>
      </c>
      <c r="I41" s="10" t="n">
        <v>46272</v>
      </c>
      <c r="J41" s="11" t="n"/>
      <c r="K41" s="9" t="inlineStr">
        <is>
          <t>Europe/Paris</t>
        </is>
      </c>
      <c r="L41" s="9" t="n"/>
      <c r="M41" s="9" t="inlineStr">
        <is>
          <t>France</t>
        </is>
      </c>
      <c r="N41" s="9" t="inlineStr">
        <is>
          <t>Hommes</t>
        </is>
      </c>
      <c r="O41" s="9" t="inlineStr">
        <is>
          <t>Officiel</t>
        </is>
      </c>
      <c r="P41" s="9" t="inlineStr">
        <is>
          <t>Oui</t>
        </is>
      </c>
      <c r="Q41" s="9" t="inlineStr">
        <is>
          <t>https://www.lfp.fr/article/ligue-2-bkt-le-calendrier-de-la-saison-2026-2027</t>
        </is>
      </c>
      <c r="R41" s="10" t="n">
        <v>46311</v>
      </c>
      <c r="S41" s="9" t="inlineStr">
        <is>
          <t>Week-end LFP (ven.–lun.) ; jours exacts par match non vérifiés</t>
        </is>
      </c>
      <c r="T41" s="9">
        <f>IF(H41="","",IF(MAX(H41,I41)&lt;TODAY(),"Terminé",IF(H41&lt;=TODAY(),"En cours","À venir")))</f>
        <v/>
      </c>
    </row>
    <row r="42">
      <c r="A42" s="9" t="inlineStr">
        <is>
          <t>L2-2627-006</t>
        </is>
      </c>
      <c r="B42" s="9" t="inlineStr">
        <is>
          <t>Football</t>
        </is>
      </c>
      <c r="C42" s="9" t="inlineStr">
        <is>
          <t>Ligue 2</t>
        </is>
      </c>
      <c r="D42" s="9" t="inlineStr">
        <is>
          <t>2026-2027</t>
        </is>
      </c>
      <c r="E42" s="9" t="inlineStr">
        <is>
          <t>Saison régulière</t>
        </is>
      </c>
      <c r="F42" s="9" t="n">
        <v>6</v>
      </c>
      <c r="G42" s="9" t="inlineStr">
        <is>
          <t>Ligue 2 – Journée 6</t>
        </is>
      </c>
      <c r="H42" s="10" t="n">
        <v>46276</v>
      </c>
      <c r="I42" s="10" t="n">
        <v>46279</v>
      </c>
      <c r="J42" s="11" t="n"/>
      <c r="K42" s="9" t="inlineStr">
        <is>
          <t>Europe/Paris</t>
        </is>
      </c>
      <c r="L42" s="9" t="n"/>
      <c r="M42" s="9" t="inlineStr">
        <is>
          <t>France</t>
        </is>
      </c>
      <c r="N42" s="9" t="inlineStr">
        <is>
          <t>Hommes</t>
        </is>
      </c>
      <c r="O42" s="9" t="inlineStr">
        <is>
          <t>Officiel</t>
        </is>
      </c>
      <c r="P42" s="9" t="inlineStr">
        <is>
          <t>Oui</t>
        </is>
      </c>
      <c r="Q42" s="9" t="inlineStr">
        <is>
          <t>https://www.lfp.fr/article/ligue-2-bkt-le-calendrier-de-la-saison-2026-2027</t>
        </is>
      </c>
      <c r="R42" s="10" t="n">
        <v>46311</v>
      </c>
      <c r="S42" s="9" t="inlineStr">
        <is>
          <t>Week-end LFP (ven.–lun.) ; jours exacts par match non vérifiés</t>
        </is>
      </c>
      <c r="T42" s="9">
        <f>IF(H42="","",IF(MAX(H42,I42)&lt;TODAY(),"Terminé",IF(H42&lt;=TODAY(),"En cours","À venir")))</f>
        <v/>
      </c>
    </row>
    <row r="43">
      <c r="A43" s="9" t="inlineStr">
        <is>
          <t>L2-2627-007</t>
        </is>
      </c>
      <c r="B43" s="9" t="inlineStr">
        <is>
          <t>Football</t>
        </is>
      </c>
      <c r="C43" s="9" t="inlineStr">
        <is>
          <t>Ligue 2</t>
        </is>
      </c>
      <c r="D43" s="9" t="inlineStr">
        <is>
          <t>2026-2027</t>
        </is>
      </c>
      <c r="E43" s="9" t="inlineStr">
        <is>
          <t>Saison régulière</t>
        </is>
      </c>
      <c r="F43" s="9" t="n">
        <v>7</v>
      </c>
      <c r="G43" s="9" t="inlineStr">
        <is>
          <t>Ligue 2 – Journée 7</t>
        </is>
      </c>
      <c r="H43" s="10" t="n">
        <v>46283</v>
      </c>
      <c r="I43" s="10" t="n">
        <v>46286</v>
      </c>
      <c r="J43" s="11" t="n"/>
      <c r="K43" s="9" t="inlineStr">
        <is>
          <t>Europe/Paris</t>
        </is>
      </c>
      <c r="L43" s="9" t="n"/>
      <c r="M43" s="9" t="inlineStr">
        <is>
          <t>France</t>
        </is>
      </c>
      <c r="N43" s="9" t="inlineStr">
        <is>
          <t>Hommes</t>
        </is>
      </c>
      <c r="O43" s="9" t="inlineStr">
        <is>
          <t>Officiel</t>
        </is>
      </c>
      <c r="P43" s="9" t="inlineStr">
        <is>
          <t>Oui</t>
        </is>
      </c>
      <c r="Q43" s="9" t="inlineStr">
        <is>
          <t>https://www.lfp.fr/article/ligue-2-bkt-le-calendrier-de-la-saison-2026-2027</t>
        </is>
      </c>
      <c r="R43" s="10" t="n">
        <v>46311</v>
      </c>
      <c r="S43" s="9" t="inlineStr">
        <is>
          <t>Week-end LFP (ven.–lun.) ; jours exacts par match non vérifiés</t>
        </is>
      </c>
      <c r="T43" s="9">
        <f>IF(H43="","",IF(MAX(H43,I43)&lt;TODAY(),"Terminé",IF(H43&lt;=TODAY(),"En cours","À venir")))</f>
        <v/>
      </c>
    </row>
    <row r="44">
      <c r="A44" s="9" t="inlineStr">
        <is>
          <t>L2-2627-008</t>
        </is>
      </c>
      <c r="B44" s="9" t="inlineStr">
        <is>
          <t>Football</t>
        </is>
      </c>
      <c r="C44" s="9" t="inlineStr">
        <is>
          <t>Ligue 2</t>
        </is>
      </c>
      <c r="D44" s="9" t="inlineStr">
        <is>
          <t>2026-2027</t>
        </is>
      </c>
      <c r="E44" s="9" t="inlineStr">
        <is>
          <t>Saison régulière</t>
        </is>
      </c>
      <c r="F44" s="9" t="n">
        <v>8</v>
      </c>
      <c r="G44" s="9" t="inlineStr">
        <is>
          <t>Ligue 2 – Journée 8</t>
        </is>
      </c>
      <c r="H44" s="10" t="n">
        <v>46304</v>
      </c>
      <c r="I44" s="10" t="n">
        <v>46307</v>
      </c>
      <c r="J44" s="11" t="n"/>
      <c r="K44" s="9" t="inlineStr">
        <is>
          <t>Europe/Paris</t>
        </is>
      </c>
      <c r="L44" s="9" t="n"/>
      <c r="M44" s="9" t="inlineStr">
        <is>
          <t>France</t>
        </is>
      </c>
      <c r="N44" s="9" t="inlineStr">
        <is>
          <t>Hommes</t>
        </is>
      </c>
      <c r="O44" s="9" t="inlineStr">
        <is>
          <t>Officiel</t>
        </is>
      </c>
      <c r="P44" s="9" t="inlineStr">
        <is>
          <t>Oui</t>
        </is>
      </c>
      <c r="Q44" s="9" t="inlineStr">
        <is>
          <t>https://ligue1.com/fr/articles/l1_article_5652-programmation-tv-j8-l2-2627</t>
        </is>
      </c>
      <c r="R44" s="10" t="n">
        <v>46311</v>
      </c>
      <c r="S44" s="9" t="inlineStr">
        <is>
          <t>Vendredi multiplex, samedi, lundi (programmation TV)</t>
        </is>
      </c>
      <c r="T44" s="9">
        <f>IF(H44="","",IF(MAX(H44,I44)&lt;TODAY(),"Terminé",IF(H44&lt;=TODAY(),"En cours","À venir")))</f>
        <v/>
      </c>
    </row>
    <row r="45">
      <c r="A45" s="9" t="inlineStr">
        <is>
          <t>L2-2627-009</t>
        </is>
      </c>
      <c r="B45" s="9" t="inlineStr">
        <is>
          <t>Football</t>
        </is>
      </c>
      <c r="C45" s="9" t="inlineStr">
        <is>
          <t>Ligue 2</t>
        </is>
      </c>
      <c r="D45" s="9" t="inlineStr">
        <is>
          <t>2026-2027</t>
        </is>
      </c>
      <c r="E45" s="9" t="inlineStr">
        <is>
          <t>Saison régulière</t>
        </is>
      </c>
      <c r="F45" s="9" t="n">
        <v>9</v>
      </c>
      <c r="G45" s="9" t="inlineStr">
        <is>
          <t>Ligue 2 – Journée 9</t>
        </is>
      </c>
      <c r="H45" s="10" t="n">
        <v>46311</v>
      </c>
      <c r="I45" s="10" t="n">
        <v>46314</v>
      </c>
      <c r="J45" s="11" t="n"/>
      <c r="K45" s="9" t="inlineStr">
        <is>
          <t>Europe/Paris</t>
        </is>
      </c>
      <c r="L45" s="9" t="n"/>
      <c r="M45" s="9" t="inlineStr">
        <is>
          <t>France</t>
        </is>
      </c>
      <c r="N45" s="9" t="inlineStr">
        <is>
          <t>Hommes</t>
        </is>
      </c>
      <c r="O45" s="9" t="inlineStr">
        <is>
          <t>Officiel</t>
        </is>
      </c>
      <c r="P45" s="9" t="inlineStr">
        <is>
          <t>Oui</t>
        </is>
      </c>
      <c r="Q45" s="9" t="inlineStr">
        <is>
          <t>https://ligue1.com/fr/articles/l1_article_5695-programmation-tv-j9-ligue-2-2026-2027</t>
        </is>
      </c>
      <c r="R45" s="10" t="n">
        <v>46311</v>
      </c>
      <c r="S45" s="9" t="inlineStr">
        <is>
          <t>Vendredi multiplex, samedi, lundi (programmation TV)</t>
        </is>
      </c>
      <c r="T45" s="9">
        <f>IF(H45="","",IF(MAX(H45,I45)&lt;TODAY(),"Terminé",IF(H45&lt;=TODAY(),"En cours","À venir")))</f>
        <v/>
      </c>
    </row>
    <row r="46">
      <c r="A46" s="9" t="inlineStr">
        <is>
          <t>L2-2627-010</t>
        </is>
      </c>
      <c r="B46" s="9" t="inlineStr">
        <is>
          <t>Football</t>
        </is>
      </c>
      <c r="C46" s="9" t="inlineStr">
        <is>
          <t>Ligue 2</t>
        </is>
      </c>
      <c r="D46" s="9" t="inlineStr">
        <is>
          <t>2026-2027</t>
        </is>
      </c>
      <c r="E46" s="9" t="inlineStr">
        <is>
          <t>Saison régulière</t>
        </is>
      </c>
      <c r="F46" s="9" t="n">
        <v>10</v>
      </c>
      <c r="G46" s="9" t="inlineStr">
        <is>
          <t>Ligue 2 – Journée 10</t>
        </is>
      </c>
      <c r="H46" s="10" t="n">
        <v>46318</v>
      </c>
      <c r="I46" s="10" t="n">
        <v>46321</v>
      </c>
      <c r="J46" s="11" t="n"/>
      <c r="K46" s="9" t="inlineStr">
        <is>
          <t>Europe/Paris</t>
        </is>
      </c>
      <c r="L46" s="9" t="n"/>
      <c r="M46" s="9" t="inlineStr">
        <is>
          <t>France</t>
        </is>
      </c>
      <c r="N46" s="9" t="inlineStr">
        <is>
          <t>Hommes</t>
        </is>
      </c>
      <c r="O46" s="9" t="inlineStr">
        <is>
          <t>Officiel</t>
        </is>
      </c>
      <c r="P46" s="9" t="inlineStr">
        <is>
          <t>Oui</t>
        </is>
      </c>
      <c r="Q46" s="9" t="inlineStr">
        <is>
          <t>https://ligue1.com/fr/articles/l1_article_5749-programmation-tv-j10-1</t>
        </is>
      </c>
      <c r="R46" s="10" t="n">
        <v>46311</v>
      </c>
      <c r="S46" s="9" t="inlineStr">
        <is>
          <t>Multiplex vendredi 23 oct. ; date du dernier match non vérifiée</t>
        </is>
      </c>
      <c r="T46" s="9">
        <f>IF(H46="","",IF(MAX(H46,I46)&lt;TODAY(),"Terminé",IF(H46&lt;=TODAY(),"En cours","À venir")))</f>
        <v/>
      </c>
    </row>
    <row r="47">
      <c r="A47" s="9" t="inlineStr">
        <is>
          <t>L2-2627-011</t>
        </is>
      </c>
      <c r="B47" s="9" t="inlineStr">
        <is>
          <t>Football</t>
        </is>
      </c>
      <c r="C47" s="9" t="inlineStr">
        <is>
          <t>Ligue 2</t>
        </is>
      </c>
      <c r="D47" s="9" t="inlineStr">
        <is>
          <t>2026-2027</t>
        </is>
      </c>
      <c r="E47" s="9" t="inlineStr">
        <is>
          <t>Saison régulière</t>
        </is>
      </c>
      <c r="F47" s="9" t="n">
        <v>11</v>
      </c>
      <c r="G47" s="9" t="inlineStr">
        <is>
          <t>Ligue 2 – Journée 11</t>
        </is>
      </c>
      <c r="H47" s="10" t="n">
        <v>46325</v>
      </c>
      <c r="I47" s="10" t="n">
        <v>46328</v>
      </c>
      <c r="J47" s="11" t="n"/>
      <c r="K47" s="9" t="inlineStr">
        <is>
          <t>Europe/Paris</t>
        </is>
      </c>
      <c r="L47" s="9" t="n"/>
      <c r="M47" s="9" t="inlineStr">
        <is>
          <t>France</t>
        </is>
      </c>
      <c r="N47" s="9" t="inlineStr">
        <is>
          <t>Hommes</t>
        </is>
      </c>
      <c r="O47" s="9" t="inlineStr">
        <is>
          <t>Officiel</t>
        </is>
      </c>
      <c r="P47" s="9" t="inlineStr">
        <is>
          <t>Oui</t>
        </is>
      </c>
      <c r="Q47" s="9" t="inlineStr">
        <is>
          <t>https://ligue1.com/fr/articles/l1_article_5803-programmation-tv-j11-l2-2627</t>
        </is>
      </c>
      <c r="R47" s="10" t="n">
        <v>46311</v>
      </c>
      <c r="S47" s="9" t="inlineStr">
        <is>
          <t>Vendredi multiplex, samedi, lundi (programmation TV)</t>
        </is>
      </c>
      <c r="T47" s="9">
        <f>IF(H47="","",IF(MAX(H47,I47)&lt;TODAY(),"Terminé",IF(H47&lt;=TODAY(),"En cours","À venir")))</f>
        <v/>
      </c>
    </row>
    <row r="48">
      <c r="A48" s="9" t="inlineStr">
        <is>
          <t>L2-2627-012</t>
        </is>
      </c>
      <c r="B48" s="9" t="inlineStr">
        <is>
          <t>Football</t>
        </is>
      </c>
      <c r="C48" s="9" t="inlineStr">
        <is>
          <t>Ligue 2</t>
        </is>
      </c>
      <c r="D48" s="9" t="inlineStr">
        <is>
          <t>2026-2027</t>
        </is>
      </c>
      <c r="E48" s="9" t="inlineStr">
        <is>
          <t>Saison régulière</t>
        </is>
      </c>
      <c r="F48" s="9" t="n">
        <v>12</v>
      </c>
      <c r="G48" s="9" t="inlineStr">
        <is>
          <t>Ligue 2 – Journée 12</t>
        </is>
      </c>
      <c r="H48" s="10" t="n">
        <v>46332</v>
      </c>
      <c r="I48" s="10" t="n">
        <v>46335</v>
      </c>
      <c r="J48" s="11" t="n"/>
      <c r="K48" s="9" t="inlineStr">
        <is>
          <t>Europe/Paris</t>
        </is>
      </c>
      <c r="L48" s="9" t="n"/>
      <c r="M48" s="9" t="inlineStr">
        <is>
          <t>France</t>
        </is>
      </c>
      <c r="N48" s="9" t="inlineStr">
        <is>
          <t>Hommes</t>
        </is>
      </c>
      <c r="O48" s="9" t="inlineStr">
        <is>
          <t>Provisoire</t>
        </is>
      </c>
      <c r="P48" s="9" t="inlineStr">
        <is>
          <t>Oui</t>
        </is>
      </c>
      <c r="Q48" s="9" t="inlineStr">
        <is>
          <t>https://www.lfp.fr/article/ligue-2-bkt-le-calendrier-de-la-saison-2026-2027</t>
        </is>
      </c>
      <c r="R48" s="10" t="n">
        <v>46311</v>
      </c>
      <c r="S48" s="9" t="inlineStr">
        <is>
          <t>Week-end nominal ven.–lun. ; programmation TV non publiée</t>
        </is>
      </c>
      <c r="T48" s="9">
        <f>IF(H48="","",IF(MAX(H48,I48)&lt;TODAY(),"Terminé",IF(H48&lt;=TODAY(),"En cours","À venir")))</f>
        <v/>
      </c>
    </row>
    <row r="49">
      <c r="A49" s="9" t="inlineStr">
        <is>
          <t>L2-2627-013</t>
        </is>
      </c>
      <c r="B49" s="9" t="inlineStr">
        <is>
          <t>Football</t>
        </is>
      </c>
      <c r="C49" s="9" t="inlineStr">
        <is>
          <t>Ligue 2</t>
        </is>
      </c>
      <c r="D49" s="9" t="inlineStr">
        <is>
          <t>2026-2027</t>
        </is>
      </c>
      <c r="E49" s="9" t="inlineStr">
        <is>
          <t>Saison régulière</t>
        </is>
      </c>
      <c r="F49" s="9" t="n">
        <v>13</v>
      </c>
      <c r="G49" s="9" t="inlineStr">
        <is>
          <t>Ligue 2 – Journée 13</t>
        </is>
      </c>
      <c r="H49" s="10" t="n">
        <v>46346</v>
      </c>
      <c r="I49" s="10" t="n">
        <v>46349</v>
      </c>
      <c r="J49" s="11" t="n"/>
      <c r="K49" s="9" t="inlineStr">
        <is>
          <t>Europe/Paris</t>
        </is>
      </c>
      <c r="L49" s="9" t="n"/>
      <c r="M49" s="9" t="inlineStr">
        <is>
          <t>France</t>
        </is>
      </c>
      <c r="N49" s="9" t="inlineStr">
        <is>
          <t>Hommes</t>
        </is>
      </c>
      <c r="O49" s="9" t="inlineStr">
        <is>
          <t>Provisoire</t>
        </is>
      </c>
      <c r="P49" s="9" t="inlineStr">
        <is>
          <t>Oui</t>
        </is>
      </c>
      <c r="Q49" s="9" t="inlineStr">
        <is>
          <t>https://www.lfp.fr/article/ligue-2-bkt-le-calendrier-de-la-saison-2026-2027</t>
        </is>
      </c>
      <c r="R49" s="10" t="n">
        <v>46311</v>
      </c>
      <c r="S49" s="9" t="inlineStr">
        <is>
          <t>Week-end nominal ven.–lun. ; programmation TV non publiée</t>
        </is>
      </c>
      <c r="T49" s="9">
        <f>IF(H49="","",IF(MAX(H49,I49)&lt;TODAY(),"Terminé",IF(H49&lt;=TODAY(),"En cours","À venir")))</f>
        <v/>
      </c>
    </row>
    <row r="50">
      <c r="A50" s="9" t="inlineStr">
        <is>
          <t>L2-2627-014</t>
        </is>
      </c>
      <c r="B50" s="9" t="inlineStr">
        <is>
          <t>Football</t>
        </is>
      </c>
      <c r="C50" s="9" t="inlineStr">
        <is>
          <t>Ligue 2</t>
        </is>
      </c>
      <c r="D50" s="9" t="inlineStr">
        <is>
          <t>2026-2027</t>
        </is>
      </c>
      <c r="E50" s="9" t="inlineStr">
        <is>
          <t>Saison régulière</t>
        </is>
      </c>
      <c r="F50" s="9" t="n">
        <v>14</v>
      </c>
      <c r="G50" s="9" t="inlineStr">
        <is>
          <t>Ligue 2 – Journée 14</t>
        </is>
      </c>
      <c r="H50" s="10" t="n">
        <v>46360</v>
      </c>
      <c r="I50" s="10" t="n">
        <v>46363</v>
      </c>
      <c r="J50" s="11" t="n"/>
      <c r="K50" s="9" t="inlineStr">
        <is>
          <t>Europe/Paris</t>
        </is>
      </c>
      <c r="L50" s="9" t="n"/>
      <c r="M50" s="9" t="inlineStr">
        <is>
          <t>France</t>
        </is>
      </c>
      <c r="N50" s="9" t="inlineStr">
        <is>
          <t>Hommes</t>
        </is>
      </c>
      <c r="O50" s="9" t="inlineStr">
        <is>
          <t>Provisoire</t>
        </is>
      </c>
      <c r="P50" s="9" t="inlineStr">
        <is>
          <t>Oui</t>
        </is>
      </c>
      <c r="Q50" s="9" t="inlineStr">
        <is>
          <t>https://www.lfp.fr/article/ligue-2-bkt-le-calendrier-de-la-saison-2026-2027</t>
        </is>
      </c>
      <c r="R50" s="10" t="n">
        <v>46311</v>
      </c>
      <c r="S50" s="9" t="inlineStr">
        <is>
          <t>Week-end nominal ven.–lun. ; programmation TV non publiée</t>
        </is>
      </c>
      <c r="T50" s="9">
        <f>IF(H50="","",IF(MAX(H50,I50)&lt;TODAY(),"Terminé",IF(H50&lt;=TODAY(),"En cours","À venir")))</f>
        <v/>
      </c>
    </row>
    <row r="51">
      <c r="A51" s="9" t="inlineStr">
        <is>
          <t>L2-2627-015</t>
        </is>
      </c>
      <c r="B51" s="9" t="inlineStr">
        <is>
          <t>Football</t>
        </is>
      </c>
      <c r="C51" s="9" t="inlineStr">
        <is>
          <t>Ligue 2</t>
        </is>
      </c>
      <c r="D51" s="9" t="inlineStr">
        <is>
          <t>2026-2027</t>
        </is>
      </c>
      <c r="E51" s="9" t="inlineStr">
        <is>
          <t>Saison régulière</t>
        </is>
      </c>
      <c r="F51" s="9" t="n">
        <v>15</v>
      </c>
      <c r="G51" s="9" t="inlineStr">
        <is>
          <t>Ligue 2 – Journée 15</t>
        </is>
      </c>
      <c r="H51" s="10" t="n">
        <v>46367</v>
      </c>
      <c r="I51" s="10" t="n">
        <v>46370</v>
      </c>
      <c r="J51" s="11" t="n"/>
      <c r="K51" s="9" t="inlineStr">
        <is>
          <t>Europe/Paris</t>
        </is>
      </c>
      <c r="L51" s="9" t="n"/>
      <c r="M51" s="9" t="inlineStr">
        <is>
          <t>France</t>
        </is>
      </c>
      <c r="N51" s="9" t="inlineStr">
        <is>
          <t>Hommes</t>
        </is>
      </c>
      <c r="O51" s="9" t="inlineStr">
        <is>
          <t>Provisoire</t>
        </is>
      </c>
      <c r="P51" s="9" t="inlineStr">
        <is>
          <t>Oui</t>
        </is>
      </c>
      <c r="Q51" s="9" t="inlineStr">
        <is>
          <t>https://www.lfp.fr/article/ligue-2-bkt-le-calendrier-de-la-saison-2026-2027</t>
        </is>
      </c>
      <c r="R51" s="10" t="n">
        <v>46311</v>
      </c>
      <c r="S51" s="9" t="inlineStr">
        <is>
          <t>Dernière journée avant la trêve hivernale ; programmation TV non publiée</t>
        </is>
      </c>
      <c r="T51" s="9">
        <f>IF(H51="","",IF(MAX(H51,I51)&lt;TODAY(),"Terminé",IF(H51&lt;=TODAY(),"En cours","À venir")))</f>
        <v/>
      </c>
    </row>
    <row r="52">
      <c r="A52" s="9" t="inlineStr">
        <is>
          <t>L2-2627-016</t>
        </is>
      </c>
      <c r="B52" s="9" t="inlineStr">
        <is>
          <t>Football</t>
        </is>
      </c>
      <c r="C52" s="9" t="inlineStr">
        <is>
          <t>Ligue 2</t>
        </is>
      </c>
      <c r="D52" s="9" t="inlineStr">
        <is>
          <t>2026-2027</t>
        </is>
      </c>
      <c r="E52" s="9" t="inlineStr">
        <is>
          <t>Saison régulière</t>
        </is>
      </c>
      <c r="F52" s="9" t="n">
        <v>16</v>
      </c>
      <c r="G52" s="9" t="inlineStr">
        <is>
          <t>Ligue 2 – Journée 16</t>
        </is>
      </c>
      <c r="H52" s="10" t="n">
        <v>46389</v>
      </c>
      <c r="I52" s="10" t="n">
        <v>46391</v>
      </c>
      <c r="J52" s="11" t="n"/>
      <c r="K52" s="9" t="inlineStr">
        <is>
          <t>Europe/Paris</t>
        </is>
      </c>
      <c r="L52" s="9" t="n"/>
      <c r="M52" s="9" t="inlineStr">
        <is>
          <t>France</t>
        </is>
      </c>
      <c r="N52" s="9" t="inlineStr">
        <is>
          <t>Hommes</t>
        </is>
      </c>
      <c r="O52" s="9" t="inlineStr">
        <is>
          <t>Provisoire</t>
        </is>
      </c>
      <c r="P52" s="9" t="inlineStr">
        <is>
          <t>Oui</t>
        </is>
      </c>
      <c r="Q52" s="9" t="inlineStr">
        <is>
          <t>https://www.lfp.fr/article/ligue-2-bkt-le-calendrier-de-la-saison-2026-2027</t>
        </is>
      </c>
      <c r="R52" s="10" t="n">
        <v>46311</v>
      </c>
      <c r="S52" s="9" t="inlineStr">
        <is>
          <t>Reprise le week-end du 2 janvier (pas de match le vendredi 1er) ; programmation TV non publiée</t>
        </is>
      </c>
      <c r="T52" s="9">
        <f>IF(H52="","",IF(MAX(H52,I52)&lt;TODAY(),"Terminé",IF(H52&lt;=TODAY(),"En cours","À venir")))</f>
        <v/>
      </c>
    </row>
    <row r="53">
      <c r="A53" s="9" t="inlineStr">
        <is>
          <t>L2-2627-017</t>
        </is>
      </c>
      <c r="B53" s="9" t="inlineStr">
        <is>
          <t>Football</t>
        </is>
      </c>
      <c r="C53" s="9" t="inlineStr">
        <is>
          <t>Ligue 2</t>
        </is>
      </c>
      <c r="D53" s="9" t="inlineStr">
        <is>
          <t>2026-2027</t>
        </is>
      </c>
      <c r="E53" s="9" t="inlineStr">
        <is>
          <t>Saison régulière</t>
        </is>
      </c>
      <c r="F53" s="9" t="n">
        <v>17</v>
      </c>
      <c r="G53" s="9" t="inlineStr">
        <is>
          <t>Ligue 2 – Journée 17</t>
        </is>
      </c>
      <c r="H53" s="10" t="n">
        <v>46402</v>
      </c>
      <c r="I53" s="10" t="n">
        <v>46405</v>
      </c>
      <c r="J53" s="11" t="n"/>
      <c r="K53" s="9" t="inlineStr">
        <is>
          <t>Europe/Paris</t>
        </is>
      </c>
      <c r="L53" s="9" t="n"/>
      <c r="M53" s="9" t="inlineStr">
        <is>
          <t>France</t>
        </is>
      </c>
      <c r="N53" s="9" t="inlineStr">
        <is>
          <t>Hommes</t>
        </is>
      </c>
      <c r="O53" s="9" t="inlineStr">
        <is>
          <t>Provisoire</t>
        </is>
      </c>
      <c r="P53" s="9" t="inlineStr">
        <is>
          <t>Oui</t>
        </is>
      </c>
      <c r="Q53" s="9" t="inlineStr">
        <is>
          <t>https://www.lfp.fr/article/ligue-2-bkt-le-calendrier-de-la-saison-2026-2027</t>
        </is>
      </c>
      <c r="R53" s="10" t="n">
        <v>46311</v>
      </c>
      <c r="S53" s="9" t="inlineStr">
        <is>
          <t>Week-end nominal ven.–lun. ; programmation TV non publiée</t>
        </is>
      </c>
      <c r="T53" s="9">
        <f>IF(H53="","",IF(MAX(H53,I53)&lt;TODAY(),"Terminé",IF(H53&lt;=TODAY(),"En cours","À venir")))</f>
        <v/>
      </c>
    </row>
    <row r="54">
      <c r="A54" s="9" t="inlineStr">
        <is>
          <t>L2-2627-018</t>
        </is>
      </c>
      <c r="B54" s="9" t="inlineStr">
        <is>
          <t>Football</t>
        </is>
      </c>
      <c r="C54" s="9" t="inlineStr">
        <is>
          <t>Ligue 2</t>
        </is>
      </c>
      <c r="D54" s="9" t="inlineStr">
        <is>
          <t>2026-2027</t>
        </is>
      </c>
      <c r="E54" s="9" t="inlineStr">
        <is>
          <t>Saison régulière</t>
        </is>
      </c>
      <c r="F54" s="9" t="n">
        <v>18</v>
      </c>
      <c r="G54" s="9" t="inlineStr">
        <is>
          <t>Ligue 2 – Journée 18</t>
        </is>
      </c>
      <c r="H54" s="10" t="n">
        <v>46409</v>
      </c>
      <c r="I54" s="10" t="n">
        <v>46412</v>
      </c>
      <c r="J54" s="11" t="n"/>
      <c r="K54" s="9" t="inlineStr">
        <is>
          <t>Europe/Paris</t>
        </is>
      </c>
      <c r="L54" s="9" t="n"/>
      <c r="M54" s="9" t="inlineStr">
        <is>
          <t>France</t>
        </is>
      </c>
      <c r="N54" s="9" t="inlineStr">
        <is>
          <t>Hommes</t>
        </is>
      </c>
      <c r="O54" s="9" t="inlineStr">
        <is>
          <t>Provisoire</t>
        </is>
      </c>
      <c r="P54" s="9" t="inlineStr">
        <is>
          <t>Oui</t>
        </is>
      </c>
      <c r="Q54" s="9" t="inlineStr">
        <is>
          <t>https://www.lfp.fr/article/ligue-2-bkt-le-calendrier-de-la-saison-2026-2027</t>
        </is>
      </c>
      <c r="R54" s="10" t="n">
        <v>46311</v>
      </c>
      <c r="S54" s="9" t="inlineStr">
        <is>
          <t>Week-end nominal ven.–lun. ; programmation TV non publiée</t>
        </is>
      </c>
      <c r="T54" s="9">
        <f>IF(H54="","",IF(MAX(H54,I54)&lt;TODAY(),"Terminé",IF(H54&lt;=TODAY(),"En cours","À venir")))</f>
        <v/>
      </c>
    </row>
    <row r="55">
      <c r="A55" s="9" t="inlineStr">
        <is>
          <t>L2-2627-019</t>
        </is>
      </c>
      <c r="B55" s="9" t="inlineStr">
        <is>
          <t>Football</t>
        </is>
      </c>
      <c r="C55" s="9" t="inlineStr">
        <is>
          <t>Ligue 2</t>
        </is>
      </c>
      <c r="D55" s="9" t="inlineStr">
        <is>
          <t>2026-2027</t>
        </is>
      </c>
      <c r="E55" s="9" t="inlineStr">
        <is>
          <t>Saison régulière</t>
        </is>
      </c>
      <c r="F55" s="9" t="n">
        <v>19</v>
      </c>
      <c r="G55" s="9" t="inlineStr">
        <is>
          <t>Ligue 2 – Journée 19</t>
        </is>
      </c>
      <c r="H55" s="10" t="n">
        <v>46416</v>
      </c>
      <c r="I55" s="10" t="n">
        <v>46419</v>
      </c>
      <c r="J55" s="11" t="n"/>
      <c r="K55" s="9" t="inlineStr">
        <is>
          <t>Europe/Paris</t>
        </is>
      </c>
      <c r="L55" s="9" t="n"/>
      <c r="M55" s="9" t="inlineStr">
        <is>
          <t>France</t>
        </is>
      </c>
      <c r="N55" s="9" t="inlineStr">
        <is>
          <t>Hommes</t>
        </is>
      </c>
      <c r="O55" s="9" t="inlineStr">
        <is>
          <t>Provisoire</t>
        </is>
      </c>
      <c r="P55" s="9" t="inlineStr">
        <is>
          <t>Oui</t>
        </is>
      </c>
      <c r="Q55" s="9" t="inlineStr">
        <is>
          <t>https://www.lfp.fr/article/ligue-2-bkt-le-calendrier-de-la-saison-2026-2027</t>
        </is>
      </c>
      <c r="R55" s="10" t="n">
        <v>46311</v>
      </c>
      <c r="S55" s="9" t="inlineStr">
        <is>
          <t>Week-end nominal ven.–lun. ; programmation TV non publiée</t>
        </is>
      </c>
      <c r="T55" s="9">
        <f>IF(H55="","",IF(MAX(H55,I55)&lt;TODAY(),"Terminé",IF(H55&lt;=TODAY(),"En cours","À venir")))</f>
        <v/>
      </c>
    </row>
    <row r="56">
      <c r="A56" s="9" t="inlineStr">
        <is>
          <t>L2-2627-020</t>
        </is>
      </c>
      <c r="B56" s="9" t="inlineStr">
        <is>
          <t>Football</t>
        </is>
      </c>
      <c r="C56" s="9" t="inlineStr">
        <is>
          <t>Ligue 2</t>
        </is>
      </c>
      <c r="D56" s="9" t="inlineStr">
        <is>
          <t>2026-2027</t>
        </is>
      </c>
      <c r="E56" s="9" t="inlineStr">
        <is>
          <t>Saison régulière</t>
        </is>
      </c>
      <c r="F56" s="9" t="n">
        <v>20</v>
      </c>
      <c r="G56" s="9" t="inlineStr">
        <is>
          <t>Ligue 2 – Journée 20</t>
        </is>
      </c>
      <c r="H56" s="10" t="n">
        <v>46423</v>
      </c>
      <c r="I56" s="10" t="n">
        <v>46426</v>
      </c>
      <c r="J56" s="11" t="n"/>
      <c r="K56" s="9" t="inlineStr">
        <is>
          <t>Europe/Paris</t>
        </is>
      </c>
      <c r="L56" s="9" t="n"/>
      <c r="M56" s="9" t="inlineStr">
        <is>
          <t>France</t>
        </is>
      </c>
      <c r="N56" s="9" t="inlineStr">
        <is>
          <t>Hommes</t>
        </is>
      </c>
      <c r="O56" s="9" t="inlineStr">
        <is>
          <t>Provisoire</t>
        </is>
      </c>
      <c r="P56" s="9" t="inlineStr">
        <is>
          <t>Oui</t>
        </is>
      </c>
      <c r="Q56" s="9" t="inlineStr">
        <is>
          <t>https://www.lfp.fr/article/ligue-2-bkt-le-calendrier-de-la-saison-2026-2027</t>
        </is>
      </c>
      <c r="R56" s="10" t="n">
        <v>46311</v>
      </c>
      <c r="S56" s="9" t="inlineStr">
        <is>
          <t>Week-end nominal ven.–lun. ; programmation TV non publiée</t>
        </is>
      </c>
      <c r="T56" s="9">
        <f>IF(H56="","",IF(MAX(H56,I56)&lt;TODAY(),"Terminé",IF(H56&lt;=TODAY(),"En cours","À venir")))</f>
        <v/>
      </c>
    </row>
    <row r="57">
      <c r="A57" s="9" t="inlineStr">
        <is>
          <t>L2-2627-021</t>
        </is>
      </c>
      <c r="B57" s="9" t="inlineStr">
        <is>
          <t>Football</t>
        </is>
      </c>
      <c r="C57" s="9" t="inlineStr">
        <is>
          <t>Ligue 2</t>
        </is>
      </c>
      <c r="D57" s="9" t="inlineStr">
        <is>
          <t>2026-2027</t>
        </is>
      </c>
      <c r="E57" s="9" t="inlineStr">
        <is>
          <t>Saison régulière</t>
        </is>
      </c>
      <c r="F57" s="9" t="n">
        <v>21</v>
      </c>
      <c r="G57" s="9" t="inlineStr">
        <is>
          <t>Ligue 2 – Journée 21</t>
        </is>
      </c>
      <c r="H57" s="10" t="n">
        <v>46430</v>
      </c>
      <c r="I57" s="10" t="n">
        <v>46433</v>
      </c>
      <c r="J57" s="11" t="n"/>
      <c r="K57" s="9" t="inlineStr">
        <is>
          <t>Europe/Paris</t>
        </is>
      </c>
      <c r="L57" s="9" t="n"/>
      <c r="M57" s="9" t="inlineStr">
        <is>
          <t>France</t>
        </is>
      </c>
      <c r="N57" s="9" t="inlineStr">
        <is>
          <t>Hommes</t>
        </is>
      </c>
      <c r="O57" s="9" t="inlineStr">
        <is>
          <t>Provisoire</t>
        </is>
      </c>
      <c r="P57" s="9" t="inlineStr">
        <is>
          <t>Oui</t>
        </is>
      </c>
      <c r="Q57" s="9" t="inlineStr">
        <is>
          <t>https://www.lfp.fr/article/ligue-2-bkt-le-calendrier-de-la-saison-2026-2027</t>
        </is>
      </c>
      <c r="R57" s="10" t="n">
        <v>46311</v>
      </c>
      <c r="S57" s="9" t="inlineStr">
        <is>
          <t>Week-end nominal ven.–lun. ; programmation TV non publiée</t>
        </is>
      </c>
      <c r="T57" s="9">
        <f>IF(H57="","",IF(MAX(H57,I57)&lt;TODAY(),"Terminé",IF(H57&lt;=TODAY(),"En cours","À venir")))</f>
        <v/>
      </c>
    </row>
    <row r="58">
      <c r="A58" s="9" t="inlineStr">
        <is>
          <t>L2-2627-022</t>
        </is>
      </c>
      <c r="B58" s="9" t="inlineStr">
        <is>
          <t>Football</t>
        </is>
      </c>
      <c r="C58" s="9" t="inlineStr">
        <is>
          <t>Ligue 2</t>
        </is>
      </c>
      <c r="D58" s="9" t="inlineStr">
        <is>
          <t>2026-2027</t>
        </is>
      </c>
      <c r="E58" s="9" t="inlineStr">
        <is>
          <t>Saison régulière</t>
        </is>
      </c>
      <c r="F58" s="9" t="n">
        <v>22</v>
      </c>
      <c r="G58" s="9" t="inlineStr">
        <is>
          <t>Ligue 2 – Journée 22</t>
        </is>
      </c>
      <c r="H58" s="10" t="n">
        <v>46437</v>
      </c>
      <c r="I58" s="10" t="n">
        <v>46440</v>
      </c>
      <c r="J58" s="11" t="n"/>
      <c r="K58" s="9" t="inlineStr">
        <is>
          <t>Europe/Paris</t>
        </is>
      </c>
      <c r="L58" s="9" t="n"/>
      <c r="M58" s="9" t="inlineStr">
        <is>
          <t>France</t>
        </is>
      </c>
      <c r="N58" s="9" t="inlineStr">
        <is>
          <t>Hommes</t>
        </is>
      </c>
      <c r="O58" s="9" t="inlineStr">
        <is>
          <t>Provisoire</t>
        </is>
      </c>
      <c r="P58" s="9" t="inlineStr">
        <is>
          <t>Oui</t>
        </is>
      </c>
      <c r="Q58" s="9" t="inlineStr">
        <is>
          <t>https://www.lfp.fr/article/ligue-2-bkt-le-calendrier-de-la-saison-2026-2027</t>
        </is>
      </c>
      <c r="R58" s="10" t="n">
        <v>46311</v>
      </c>
      <c r="S58" s="9" t="inlineStr">
        <is>
          <t>Week-end nominal ven.–lun. ; programmation TV non publiée</t>
        </is>
      </c>
      <c r="T58" s="9">
        <f>IF(H58="","",IF(MAX(H58,I58)&lt;TODAY(),"Terminé",IF(H58&lt;=TODAY(),"En cours","À venir")))</f>
        <v/>
      </c>
    </row>
    <row r="59">
      <c r="A59" s="9" t="inlineStr">
        <is>
          <t>L2-2627-023</t>
        </is>
      </c>
      <c r="B59" s="9" t="inlineStr">
        <is>
          <t>Football</t>
        </is>
      </c>
      <c r="C59" s="9" t="inlineStr">
        <is>
          <t>Ligue 2</t>
        </is>
      </c>
      <c r="D59" s="9" t="inlineStr">
        <is>
          <t>2026-2027</t>
        </is>
      </c>
      <c r="E59" s="9" t="inlineStr">
        <is>
          <t>Saison régulière</t>
        </is>
      </c>
      <c r="F59" s="9" t="n">
        <v>23</v>
      </c>
      <c r="G59" s="9" t="inlineStr">
        <is>
          <t>Ligue 2 – Journée 23</t>
        </is>
      </c>
      <c r="H59" s="10" t="n">
        <v>46444</v>
      </c>
      <c r="I59" s="10" t="n">
        <v>46447</v>
      </c>
      <c r="J59" s="11" t="n"/>
      <c r="K59" s="9" t="inlineStr">
        <is>
          <t>Europe/Paris</t>
        </is>
      </c>
      <c r="L59" s="9" t="n"/>
      <c r="M59" s="9" t="inlineStr">
        <is>
          <t>France</t>
        </is>
      </c>
      <c r="N59" s="9" t="inlineStr">
        <is>
          <t>Hommes</t>
        </is>
      </c>
      <c r="O59" s="9" t="inlineStr">
        <is>
          <t>Provisoire</t>
        </is>
      </c>
      <c r="P59" s="9" t="inlineStr">
        <is>
          <t>Oui</t>
        </is>
      </c>
      <c r="Q59" s="9" t="inlineStr">
        <is>
          <t>https://www.lfp.fr/article/ligue-2-bkt-le-calendrier-de-la-saison-2026-2027</t>
        </is>
      </c>
      <c r="R59" s="10" t="n">
        <v>46311</v>
      </c>
      <c r="S59" s="9" t="inlineStr">
        <is>
          <t>Week-end nominal ven.–lun. ; programmation TV non publiée</t>
        </is>
      </c>
      <c r="T59" s="9">
        <f>IF(H59="","",IF(MAX(H59,I59)&lt;TODAY(),"Terminé",IF(H59&lt;=TODAY(),"En cours","À venir")))</f>
        <v/>
      </c>
    </row>
    <row r="60">
      <c r="A60" s="9" t="inlineStr">
        <is>
          <t>L2-2627-024</t>
        </is>
      </c>
      <c r="B60" s="9" t="inlineStr">
        <is>
          <t>Football</t>
        </is>
      </c>
      <c r="C60" s="9" t="inlineStr">
        <is>
          <t>Ligue 2</t>
        </is>
      </c>
      <c r="D60" s="9" t="inlineStr">
        <is>
          <t>2026-2027</t>
        </is>
      </c>
      <c r="E60" s="9" t="inlineStr">
        <is>
          <t>Saison régulière</t>
        </is>
      </c>
      <c r="F60" s="9" t="n">
        <v>24</v>
      </c>
      <c r="G60" s="9" t="inlineStr">
        <is>
          <t>Ligue 2 – Journée 24</t>
        </is>
      </c>
      <c r="H60" s="10" t="n">
        <v>46451</v>
      </c>
      <c r="I60" s="10" t="n">
        <v>46454</v>
      </c>
      <c r="J60" s="11" t="n"/>
      <c r="K60" s="9" t="inlineStr">
        <is>
          <t>Europe/Paris</t>
        </is>
      </c>
      <c r="L60" s="9" t="n"/>
      <c r="M60" s="9" t="inlineStr">
        <is>
          <t>France</t>
        </is>
      </c>
      <c r="N60" s="9" t="inlineStr">
        <is>
          <t>Hommes</t>
        </is>
      </c>
      <c r="O60" s="9" t="inlineStr">
        <is>
          <t>Provisoire</t>
        </is>
      </c>
      <c r="P60" s="9" t="inlineStr">
        <is>
          <t>Oui</t>
        </is>
      </c>
      <c r="Q60" s="9" t="inlineStr">
        <is>
          <t>https://www.lfp.fr/article/ligue-2-bkt-le-calendrier-de-la-saison-2026-2027</t>
        </is>
      </c>
      <c r="R60" s="10" t="n">
        <v>46311</v>
      </c>
      <c r="S60" s="9" t="inlineStr">
        <is>
          <t>Week-end nominal ven.–lun. ; programmation TV non publiée</t>
        </is>
      </c>
      <c r="T60" s="9">
        <f>IF(H60="","",IF(MAX(H60,I60)&lt;TODAY(),"Terminé",IF(H60&lt;=TODAY(),"En cours","À venir")))</f>
        <v/>
      </c>
    </row>
    <row r="61">
      <c r="A61" s="9" t="inlineStr">
        <is>
          <t>L2-2627-025</t>
        </is>
      </c>
      <c r="B61" s="9" t="inlineStr">
        <is>
          <t>Football</t>
        </is>
      </c>
      <c r="C61" s="9" t="inlineStr">
        <is>
          <t>Ligue 2</t>
        </is>
      </c>
      <c r="D61" s="9" t="inlineStr">
        <is>
          <t>2026-2027</t>
        </is>
      </c>
      <c r="E61" s="9" t="inlineStr">
        <is>
          <t>Saison régulière</t>
        </is>
      </c>
      <c r="F61" s="9" t="n">
        <v>25</v>
      </c>
      <c r="G61" s="9" t="inlineStr">
        <is>
          <t>Ligue 2 – Journée 25</t>
        </is>
      </c>
      <c r="H61" s="10" t="n">
        <v>46458</v>
      </c>
      <c r="I61" s="10" t="n">
        <v>46461</v>
      </c>
      <c r="J61" s="11" t="n"/>
      <c r="K61" s="9" t="inlineStr">
        <is>
          <t>Europe/Paris</t>
        </is>
      </c>
      <c r="L61" s="9" t="n"/>
      <c r="M61" s="9" t="inlineStr">
        <is>
          <t>France</t>
        </is>
      </c>
      <c r="N61" s="9" t="inlineStr">
        <is>
          <t>Hommes</t>
        </is>
      </c>
      <c r="O61" s="9" t="inlineStr">
        <is>
          <t>Provisoire</t>
        </is>
      </c>
      <c r="P61" s="9" t="inlineStr">
        <is>
          <t>Oui</t>
        </is>
      </c>
      <c r="Q61" s="9" t="inlineStr">
        <is>
          <t>https://www.lfp.fr/article/ligue-2-bkt-le-calendrier-de-la-saison-2026-2027</t>
        </is>
      </c>
      <c r="R61" s="10" t="n">
        <v>46311</v>
      </c>
      <c r="S61" s="9" t="inlineStr">
        <is>
          <t>Week-end nominal ven.–lun. ; programmation TV non publiée</t>
        </is>
      </c>
      <c r="T61" s="9">
        <f>IF(H61="","",IF(MAX(H61,I61)&lt;TODAY(),"Terminé",IF(H61&lt;=TODAY(),"En cours","À venir")))</f>
        <v/>
      </c>
    </row>
    <row r="62">
      <c r="A62" s="9" t="inlineStr">
        <is>
          <t>L2-2627-026</t>
        </is>
      </c>
      <c r="B62" s="9" t="inlineStr">
        <is>
          <t>Football</t>
        </is>
      </c>
      <c r="C62" s="9" t="inlineStr">
        <is>
          <t>Ligue 2</t>
        </is>
      </c>
      <c r="D62" s="9" t="inlineStr">
        <is>
          <t>2026-2027</t>
        </is>
      </c>
      <c r="E62" s="9" t="inlineStr">
        <is>
          <t>Saison régulière</t>
        </is>
      </c>
      <c r="F62" s="9" t="n">
        <v>26</v>
      </c>
      <c r="G62" s="9" t="inlineStr">
        <is>
          <t>Ligue 2 – Journée 26</t>
        </is>
      </c>
      <c r="H62" s="10" t="n">
        <v>46465</v>
      </c>
      <c r="I62" s="10" t="n">
        <v>46468</v>
      </c>
      <c r="J62" s="11" t="n"/>
      <c r="K62" s="9" t="inlineStr">
        <is>
          <t>Europe/Paris</t>
        </is>
      </c>
      <c r="L62" s="9" t="n"/>
      <c r="M62" s="9" t="inlineStr">
        <is>
          <t>France</t>
        </is>
      </c>
      <c r="N62" s="9" t="inlineStr">
        <is>
          <t>Hommes</t>
        </is>
      </c>
      <c r="O62" s="9" t="inlineStr">
        <is>
          <t>Provisoire</t>
        </is>
      </c>
      <c r="P62" s="9" t="inlineStr">
        <is>
          <t>Oui</t>
        </is>
      </c>
      <c r="Q62" s="9" t="inlineStr">
        <is>
          <t>https://www.lfp.fr/article/ligue-2-bkt-le-calendrier-de-la-saison-2026-2027</t>
        </is>
      </c>
      <c r="R62" s="10" t="n">
        <v>46311</v>
      </c>
      <c r="S62" s="9" t="inlineStr">
        <is>
          <t>Week-end nominal ven.–lun. ; programmation TV non publiée</t>
        </is>
      </c>
      <c r="T62" s="9">
        <f>IF(H62="","",IF(MAX(H62,I62)&lt;TODAY(),"Terminé",IF(H62&lt;=TODAY(),"En cours","À venir")))</f>
        <v/>
      </c>
    </row>
    <row r="63">
      <c r="A63" s="9" t="inlineStr">
        <is>
          <t>L2-2627-027</t>
        </is>
      </c>
      <c r="B63" s="9" t="inlineStr">
        <is>
          <t>Football</t>
        </is>
      </c>
      <c r="C63" s="9" t="inlineStr">
        <is>
          <t>Ligue 2</t>
        </is>
      </c>
      <c r="D63" s="9" t="inlineStr">
        <is>
          <t>2026-2027</t>
        </is>
      </c>
      <c r="E63" s="9" t="inlineStr">
        <is>
          <t>Saison régulière</t>
        </is>
      </c>
      <c r="F63" s="9" t="n">
        <v>27</v>
      </c>
      <c r="G63" s="9" t="inlineStr">
        <is>
          <t>Ligue 2 – Journée 27</t>
        </is>
      </c>
      <c r="H63" s="10" t="n">
        <v>46479</v>
      </c>
      <c r="I63" s="10" t="n">
        <v>46482</v>
      </c>
      <c r="J63" s="11" t="n"/>
      <c r="K63" s="9" t="inlineStr">
        <is>
          <t>Europe/Paris</t>
        </is>
      </c>
      <c r="L63" s="9" t="n"/>
      <c r="M63" s="9" t="inlineStr">
        <is>
          <t>France</t>
        </is>
      </c>
      <c r="N63" s="9" t="inlineStr">
        <is>
          <t>Hommes</t>
        </is>
      </c>
      <c r="O63" s="9" t="inlineStr">
        <is>
          <t>Provisoire</t>
        </is>
      </c>
      <c r="P63" s="9" t="inlineStr">
        <is>
          <t>Oui</t>
        </is>
      </c>
      <c r="Q63" s="9" t="inlineStr">
        <is>
          <t>https://www.lfp.fr/article/ligue-2-bkt-le-calendrier-de-la-saison-2026-2027</t>
        </is>
      </c>
      <c r="R63" s="10" t="n">
        <v>46311</v>
      </c>
      <c r="S63" s="9" t="inlineStr">
        <is>
          <t>Week-end nominal ven.–lun. ; programmation TV non publiée</t>
        </is>
      </c>
      <c r="T63" s="9">
        <f>IF(H63="","",IF(MAX(H63,I63)&lt;TODAY(),"Terminé",IF(H63&lt;=TODAY(),"En cours","À venir")))</f>
        <v/>
      </c>
    </row>
    <row r="64">
      <c r="A64" s="9" t="inlineStr">
        <is>
          <t>L2-2627-028</t>
        </is>
      </c>
      <c r="B64" s="9" t="inlineStr">
        <is>
          <t>Football</t>
        </is>
      </c>
      <c r="C64" s="9" t="inlineStr">
        <is>
          <t>Ligue 2</t>
        </is>
      </c>
      <c r="D64" s="9" t="inlineStr">
        <is>
          <t>2026-2027</t>
        </is>
      </c>
      <c r="E64" s="9" t="inlineStr">
        <is>
          <t>Saison régulière</t>
        </is>
      </c>
      <c r="F64" s="9" t="n">
        <v>28</v>
      </c>
      <c r="G64" s="9" t="inlineStr">
        <is>
          <t>Ligue 2 – Journée 28</t>
        </is>
      </c>
      <c r="H64" s="10" t="n">
        <v>46486</v>
      </c>
      <c r="I64" s="10" t="n">
        <v>46489</v>
      </c>
      <c r="J64" s="11" t="n"/>
      <c r="K64" s="9" t="inlineStr">
        <is>
          <t>Europe/Paris</t>
        </is>
      </c>
      <c r="L64" s="9" t="n"/>
      <c r="M64" s="9" t="inlineStr">
        <is>
          <t>France</t>
        </is>
      </c>
      <c r="N64" s="9" t="inlineStr">
        <is>
          <t>Hommes</t>
        </is>
      </c>
      <c r="O64" s="9" t="inlineStr">
        <is>
          <t>Provisoire</t>
        </is>
      </c>
      <c r="P64" s="9" t="inlineStr">
        <is>
          <t>Oui</t>
        </is>
      </c>
      <c r="Q64" s="9" t="inlineStr">
        <is>
          <t>https://www.lfp.fr/article/ligue-2-bkt-le-calendrier-de-la-saison-2026-2027</t>
        </is>
      </c>
      <c r="R64" s="10" t="n">
        <v>46311</v>
      </c>
      <c r="S64" s="9" t="inlineStr">
        <is>
          <t>Week-end nominal ven.–lun. ; programmation TV non publiée</t>
        </is>
      </c>
      <c r="T64" s="9">
        <f>IF(H64="","",IF(MAX(H64,I64)&lt;TODAY(),"Terminé",IF(H64&lt;=TODAY(),"En cours","À venir")))</f>
        <v/>
      </c>
    </row>
    <row r="65">
      <c r="A65" s="9" t="inlineStr">
        <is>
          <t>L2-2627-029</t>
        </is>
      </c>
      <c r="B65" s="9" t="inlineStr">
        <is>
          <t>Football</t>
        </is>
      </c>
      <c r="C65" s="9" t="inlineStr">
        <is>
          <t>Ligue 2</t>
        </is>
      </c>
      <c r="D65" s="9" t="inlineStr">
        <is>
          <t>2026-2027</t>
        </is>
      </c>
      <c r="E65" s="9" t="inlineStr">
        <is>
          <t>Saison régulière</t>
        </is>
      </c>
      <c r="F65" s="9" t="n">
        <v>29</v>
      </c>
      <c r="G65" s="9" t="inlineStr">
        <is>
          <t>Ligue 2 – Journée 29</t>
        </is>
      </c>
      <c r="H65" s="10" t="n">
        <v>46493</v>
      </c>
      <c r="I65" s="10" t="n">
        <v>46496</v>
      </c>
      <c r="J65" s="11" t="n"/>
      <c r="K65" s="9" t="inlineStr">
        <is>
          <t>Europe/Paris</t>
        </is>
      </c>
      <c r="L65" s="9" t="n"/>
      <c r="M65" s="9" t="inlineStr">
        <is>
          <t>France</t>
        </is>
      </c>
      <c r="N65" s="9" t="inlineStr">
        <is>
          <t>Hommes</t>
        </is>
      </c>
      <c r="O65" s="9" t="inlineStr">
        <is>
          <t>Provisoire</t>
        </is>
      </c>
      <c r="P65" s="9" t="inlineStr">
        <is>
          <t>Oui</t>
        </is>
      </c>
      <c r="Q65" s="9" t="inlineStr">
        <is>
          <t>https://www.lfp.fr/article/ligue-2-bkt-le-calendrier-de-la-saison-2026-2027</t>
        </is>
      </c>
      <c r="R65" s="10" t="n">
        <v>46311</v>
      </c>
      <c r="S65" s="9" t="inlineStr">
        <is>
          <t>Week-end nominal ven.–lun. ; programmation TV non publiée</t>
        </is>
      </c>
      <c r="T65" s="9">
        <f>IF(H65="","",IF(MAX(H65,I65)&lt;TODAY(),"Terminé",IF(H65&lt;=TODAY(),"En cours","À venir")))</f>
        <v/>
      </c>
    </row>
    <row r="66">
      <c r="A66" s="9" t="inlineStr">
        <is>
          <t>L2-2627-030</t>
        </is>
      </c>
      <c r="B66" s="9" t="inlineStr">
        <is>
          <t>Football</t>
        </is>
      </c>
      <c r="C66" s="9" t="inlineStr">
        <is>
          <t>Ligue 2</t>
        </is>
      </c>
      <c r="D66" s="9" t="inlineStr">
        <is>
          <t>2026-2027</t>
        </is>
      </c>
      <c r="E66" s="9" t="inlineStr">
        <is>
          <t>Saison régulière</t>
        </is>
      </c>
      <c r="F66" s="9" t="n">
        <v>30</v>
      </c>
      <c r="G66" s="9" t="inlineStr">
        <is>
          <t>Ligue 2 – Journée 30</t>
        </is>
      </c>
      <c r="H66" s="10" t="n">
        <v>46500</v>
      </c>
      <c r="I66" s="10" t="n">
        <v>46503</v>
      </c>
      <c r="J66" s="11" t="n"/>
      <c r="K66" s="9" t="inlineStr">
        <is>
          <t>Europe/Paris</t>
        </is>
      </c>
      <c r="L66" s="9" t="n"/>
      <c r="M66" s="9" t="inlineStr">
        <is>
          <t>France</t>
        </is>
      </c>
      <c r="N66" s="9" t="inlineStr">
        <is>
          <t>Hommes</t>
        </is>
      </c>
      <c r="O66" s="9" t="inlineStr">
        <is>
          <t>Provisoire</t>
        </is>
      </c>
      <c r="P66" s="9" t="inlineStr">
        <is>
          <t>Oui</t>
        </is>
      </c>
      <c r="Q66" s="9" t="inlineStr">
        <is>
          <t>https://www.lfp.fr/article/ligue-2-bkt-le-calendrier-de-la-saison-2026-2027</t>
        </is>
      </c>
      <c r="R66" s="10" t="n">
        <v>46311</v>
      </c>
      <c r="S66" s="9" t="inlineStr">
        <is>
          <t>Week-end nominal ven.–lun. ; programmation TV non publiée</t>
        </is>
      </c>
      <c r="T66" s="9">
        <f>IF(H66="","",IF(MAX(H66,I66)&lt;TODAY(),"Terminé",IF(H66&lt;=TODAY(),"En cours","À venir")))</f>
        <v/>
      </c>
    </row>
    <row r="67">
      <c r="A67" s="9" t="inlineStr">
        <is>
          <t>L2-2627-031</t>
        </is>
      </c>
      <c r="B67" s="9" t="inlineStr">
        <is>
          <t>Football</t>
        </is>
      </c>
      <c r="C67" s="9" t="inlineStr">
        <is>
          <t>Ligue 2</t>
        </is>
      </c>
      <c r="D67" s="9" t="inlineStr">
        <is>
          <t>2026-2027</t>
        </is>
      </c>
      <c r="E67" s="9" t="inlineStr">
        <is>
          <t>Saison régulière</t>
        </is>
      </c>
      <c r="F67" s="9" t="n">
        <v>31</v>
      </c>
      <c r="G67" s="9" t="inlineStr">
        <is>
          <t>Ligue 2 – Journée 31</t>
        </is>
      </c>
      <c r="H67" s="10" t="n">
        <v>46507</v>
      </c>
      <c r="I67" s="10" t="n">
        <v>46510</v>
      </c>
      <c r="J67" s="11" t="n"/>
      <c r="K67" s="9" t="inlineStr">
        <is>
          <t>Europe/Paris</t>
        </is>
      </c>
      <c r="L67" s="9" t="n"/>
      <c r="M67" s="9" t="inlineStr">
        <is>
          <t>France</t>
        </is>
      </c>
      <c r="N67" s="9" t="inlineStr">
        <is>
          <t>Hommes</t>
        </is>
      </c>
      <c r="O67" s="9" t="inlineStr">
        <is>
          <t>Provisoire</t>
        </is>
      </c>
      <c r="P67" s="9" t="inlineStr">
        <is>
          <t>Oui</t>
        </is>
      </c>
      <c r="Q67" s="9" t="inlineStr">
        <is>
          <t>https://www.lfp.fr/article/ligue-2-bkt-le-calendrier-de-la-saison-2026-2027</t>
        </is>
      </c>
      <c r="R67" s="10" t="n">
        <v>46311</v>
      </c>
      <c r="S67" s="9" t="inlineStr">
        <is>
          <t>Week-end nominal ven.–lun. ; programmation TV non publiée</t>
        </is>
      </c>
      <c r="T67" s="9">
        <f>IF(H67="","",IF(MAX(H67,I67)&lt;TODAY(),"Terminé",IF(H67&lt;=TODAY(),"En cours","À venir")))</f>
        <v/>
      </c>
    </row>
    <row r="68">
      <c r="A68" s="9" t="inlineStr">
        <is>
          <t>L2-2627-032</t>
        </is>
      </c>
      <c r="B68" s="9" t="inlineStr">
        <is>
          <t>Football</t>
        </is>
      </c>
      <c r="C68" s="9" t="inlineStr">
        <is>
          <t>Ligue 2</t>
        </is>
      </c>
      <c r="D68" s="9" t="inlineStr">
        <is>
          <t>2026-2027</t>
        </is>
      </c>
      <c r="E68" s="9" t="inlineStr">
        <is>
          <t>Saison régulière</t>
        </is>
      </c>
      <c r="F68" s="9" t="n">
        <v>32</v>
      </c>
      <c r="G68" s="9" t="inlineStr">
        <is>
          <t>Ligue 2 – Journée 32</t>
        </is>
      </c>
      <c r="H68" s="10" t="n">
        <v>46514</v>
      </c>
      <c r="I68" s="10" t="n">
        <v>46517</v>
      </c>
      <c r="J68" s="11" t="n"/>
      <c r="K68" s="9" t="inlineStr">
        <is>
          <t>Europe/Paris</t>
        </is>
      </c>
      <c r="L68" s="9" t="n"/>
      <c r="M68" s="9" t="inlineStr">
        <is>
          <t>France</t>
        </is>
      </c>
      <c r="N68" s="9" t="inlineStr">
        <is>
          <t>Hommes</t>
        </is>
      </c>
      <c r="O68" s="9" t="inlineStr">
        <is>
          <t>Provisoire</t>
        </is>
      </c>
      <c r="P68" s="9" t="inlineStr">
        <is>
          <t>Oui</t>
        </is>
      </c>
      <c r="Q68" s="9" t="inlineStr">
        <is>
          <t>https://www.lfp.fr/article/ligue-2-bkt-le-calendrier-de-la-saison-2026-2027</t>
        </is>
      </c>
      <c r="R68" s="10" t="n">
        <v>46311</v>
      </c>
      <c r="S68" s="9" t="inlineStr">
        <is>
          <t>Week-end nominal ven.–lun. ; programmation TV non publiée</t>
        </is>
      </c>
      <c r="T68" s="9">
        <f>IF(H68="","",IF(MAX(H68,I68)&lt;TODAY(),"Terminé",IF(H68&lt;=TODAY(),"En cours","À venir")))</f>
        <v/>
      </c>
    </row>
    <row r="69">
      <c r="A69" s="9" t="inlineStr">
        <is>
          <t>L2-2627-033</t>
        </is>
      </c>
      <c r="B69" s="9" t="inlineStr">
        <is>
          <t>Football</t>
        </is>
      </c>
      <c r="C69" s="9" t="inlineStr">
        <is>
          <t>Ligue 2</t>
        </is>
      </c>
      <c r="D69" s="9" t="inlineStr">
        <is>
          <t>2026-2027</t>
        </is>
      </c>
      <c r="E69" s="9" t="inlineStr">
        <is>
          <t>Saison régulière</t>
        </is>
      </c>
      <c r="F69" s="9" t="n">
        <v>33</v>
      </c>
      <c r="G69" s="9" t="inlineStr">
        <is>
          <t>Ligue 2 – Journée 33</t>
        </is>
      </c>
      <c r="H69" s="10" t="n">
        <v>46521</v>
      </c>
      <c r="I69" s="10" t="n">
        <v>46524</v>
      </c>
      <c r="J69" s="11" t="n"/>
      <c r="K69" s="9" t="inlineStr">
        <is>
          <t>Europe/Paris</t>
        </is>
      </c>
      <c r="L69" s="9" t="n"/>
      <c r="M69" s="9" t="inlineStr">
        <is>
          <t>France</t>
        </is>
      </c>
      <c r="N69" s="9" t="inlineStr">
        <is>
          <t>Hommes</t>
        </is>
      </c>
      <c r="O69" s="9" t="inlineStr">
        <is>
          <t>Provisoire</t>
        </is>
      </c>
      <c r="P69" s="9" t="inlineStr">
        <is>
          <t>Oui</t>
        </is>
      </c>
      <c r="Q69" s="9" t="inlineStr">
        <is>
          <t>https://www.lfp.fr/article/ligue-2-bkt-le-calendrier-de-la-saison-2026-2027</t>
        </is>
      </c>
      <c r="R69" s="10" t="n">
        <v>46311</v>
      </c>
      <c r="S69" s="9" t="inlineStr">
        <is>
          <t>Vendredi 14 mai selon LFP ; lundi 17 mai (Pentecôte) non confirmé</t>
        </is>
      </c>
      <c r="T69" s="9">
        <f>IF(H69="","",IF(MAX(H69,I69)&lt;TODAY(),"Terminé",IF(H69&lt;=TODAY(),"En cours","À venir")))</f>
        <v/>
      </c>
    </row>
    <row r="70">
      <c r="A70" s="9" t="inlineStr">
        <is>
          <t>L2-2627-034</t>
        </is>
      </c>
      <c r="B70" s="9" t="inlineStr">
        <is>
          <t>Football</t>
        </is>
      </c>
      <c r="C70" s="9" t="inlineStr">
        <is>
          <t>Ligue 2</t>
        </is>
      </c>
      <c r="D70" s="9" t="inlineStr">
        <is>
          <t>2026-2027</t>
        </is>
      </c>
      <c r="E70" s="9" t="inlineStr">
        <is>
          <t>Saison régulière</t>
        </is>
      </c>
      <c r="F70" s="9" t="n">
        <v>34</v>
      </c>
      <c r="G70" s="9" t="inlineStr">
        <is>
          <t>Ligue 2 – Journée 34</t>
        </is>
      </c>
      <c r="H70" s="10" t="n">
        <v>46529</v>
      </c>
      <c r="I70" s="10" t="n">
        <v>46529</v>
      </c>
      <c r="J70" s="11" t="n"/>
      <c r="K70" s="9" t="inlineStr">
        <is>
          <t>Europe/Paris</t>
        </is>
      </c>
      <c r="L70" s="9" t="n"/>
      <c r="M70" s="9" t="inlineStr">
        <is>
          <t>France</t>
        </is>
      </c>
      <c r="N70" s="9" t="inlineStr">
        <is>
          <t>Hommes</t>
        </is>
      </c>
      <c r="O70" s="9" t="inlineStr">
        <is>
          <t>Officiel</t>
        </is>
      </c>
      <c r="P70" s="9" t="inlineStr">
        <is>
          <t>Oui</t>
        </is>
      </c>
      <c r="Q70" s="9" t="inlineStr">
        <is>
          <t>https://www.lfp.fr/article/publication-du-calendrier-general-de-la-ligue-2-bkt-pour-la-saison-2026-2027</t>
        </is>
      </c>
      <c r="R70" s="10" t="n">
        <v>46311</v>
      </c>
      <c r="S70" s="9" t="inlineStr">
        <is>
          <t>Dernière journée, multiplex le samedi ; horaire non vérifié</t>
        </is>
      </c>
      <c r="T70" s="9">
        <f>IF(H70="","",IF(MAX(H70,I70)&lt;TODAY(),"Terminé",IF(H70&lt;=TODAY(),"En cours","À venir")))</f>
        <v/>
      </c>
    </row>
    <row r="71">
      <c r="A71" s="9" t="inlineStr">
        <is>
          <t>L2-2627-035</t>
        </is>
      </c>
      <c r="B71" s="9" t="inlineStr">
        <is>
          <t>Football</t>
        </is>
      </c>
      <c r="C71" s="9" t="inlineStr">
        <is>
          <t>Ligue 2</t>
        </is>
      </c>
      <c r="D71" s="9" t="inlineStr">
        <is>
          <t>2026-2027</t>
        </is>
      </c>
      <c r="E71" s="9" t="inlineStr">
        <is>
          <t>Play-offs</t>
        </is>
      </c>
      <c r="F71" s="9" t="n"/>
      <c r="G71" s="9" t="inlineStr">
        <is>
          <t>Ligue 2 – Play-off 1 (4e vs 5e)</t>
        </is>
      </c>
      <c r="H71" s="10" t="n">
        <v>46532</v>
      </c>
      <c r="I71" s="10" t="n">
        <v>46532</v>
      </c>
      <c r="J71" s="11" t="n"/>
      <c r="K71" s="9" t="inlineStr">
        <is>
          <t>Europe/Paris</t>
        </is>
      </c>
      <c r="L71" s="9" t="n"/>
      <c r="M71" s="9" t="inlineStr">
        <is>
          <t>France</t>
        </is>
      </c>
      <c r="N71" s="9" t="inlineStr">
        <is>
          <t>Hommes</t>
        </is>
      </c>
      <c r="O71" s="9" t="inlineStr">
        <is>
          <t>Officiel</t>
        </is>
      </c>
      <c r="P71" s="9" t="inlineStr">
        <is>
          <t>Oui</t>
        </is>
      </c>
      <c r="Q71" s="9" t="inlineStr">
        <is>
          <t>https://www.lfp.fr/article/publication-du-calendrier-general-de-la-ligue-2-bkt-pour-la-saison-2026-2027</t>
        </is>
      </c>
      <c r="R71" s="10" t="n">
        <v>46311</v>
      </c>
      <c r="S71" s="9" t="inlineStr">
        <is>
          <t>Mardi 25 mai</t>
        </is>
      </c>
      <c r="T71" s="9">
        <f>IF(H71="","",IF(MAX(H71,I71)&lt;TODAY(),"Terminé",IF(H71&lt;=TODAY(),"En cours","À venir")))</f>
        <v/>
      </c>
    </row>
    <row r="72">
      <c r="A72" s="9" t="inlineStr">
        <is>
          <t>L2-2627-036</t>
        </is>
      </c>
      <c r="B72" s="9" t="inlineStr">
        <is>
          <t>Football</t>
        </is>
      </c>
      <c r="C72" s="9" t="inlineStr">
        <is>
          <t>Ligue 2</t>
        </is>
      </c>
      <c r="D72" s="9" t="inlineStr">
        <is>
          <t>2026-2027</t>
        </is>
      </c>
      <c r="E72" s="9" t="inlineStr">
        <is>
          <t>Play-offs</t>
        </is>
      </c>
      <c r="F72" s="9" t="n"/>
      <c r="G72" s="9" t="inlineStr">
        <is>
          <t>Ligue 2 – Play-off 2 (3e vs vainqueur PO1)</t>
        </is>
      </c>
      <c r="H72" s="10" t="n">
        <v>46535</v>
      </c>
      <c r="I72" s="10" t="n">
        <v>46535</v>
      </c>
      <c r="J72" s="11" t="n"/>
      <c r="K72" s="9" t="inlineStr">
        <is>
          <t>Europe/Paris</t>
        </is>
      </c>
      <c r="L72" s="9" t="n"/>
      <c r="M72" s="9" t="inlineStr">
        <is>
          <t>France</t>
        </is>
      </c>
      <c r="N72" s="9" t="inlineStr">
        <is>
          <t>Hommes</t>
        </is>
      </c>
      <c r="O72" s="9" t="inlineStr">
        <is>
          <t>Officiel</t>
        </is>
      </c>
      <c r="P72" s="9" t="inlineStr">
        <is>
          <t>Oui</t>
        </is>
      </c>
      <c r="Q72" s="9" t="inlineStr">
        <is>
          <t>https://www.lfp.fr/article/publication-du-calendrier-general-de-la-ligue-2-bkt-pour-la-saison-2026-2027</t>
        </is>
      </c>
      <c r="R72" s="10" t="n">
        <v>46311</v>
      </c>
      <c r="S72" s="9" t="inlineStr">
        <is>
          <t>Vendredi 28 mai ; le vainqueur dispute le barrage L1/L2 (3 et 6 juin)</t>
        </is>
      </c>
      <c r="T72" s="9">
        <f>IF(H72="","",IF(MAX(H72,I72)&lt;TODAY(),"Terminé",IF(H72&lt;=TODAY(),"En cours","À venir")))</f>
        <v/>
      </c>
    </row>
    <row r="73">
      <c r="A73" s="9" t="inlineStr">
        <is>
          <t>L2-2627-037</t>
        </is>
      </c>
      <c r="B73" s="9" t="inlineStr">
        <is>
          <t>Football</t>
        </is>
      </c>
      <c r="C73" s="9" t="inlineStr">
        <is>
          <t>Ligue 2</t>
        </is>
      </c>
      <c r="D73" s="9" t="inlineStr">
        <is>
          <t>2026-2027</t>
        </is>
      </c>
      <c r="E73" s="9" t="inlineStr">
        <is>
          <t>Barrages</t>
        </is>
      </c>
      <c r="F73" s="9" t="n"/>
      <c r="G73" s="9" t="inlineStr">
        <is>
          <t>Ligue 2 – Barrage de maintien (16e L2 vs 3e division)</t>
        </is>
      </c>
      <c r="H73" s="10" t="n">
        <v>46539</v>
      </c>
      <c r="I73" s="10" t="n">
        <v>46544</v>
      </c>
      <c r="J73" s="11" t="n"/>
      <c r="K73" s="9" t="inlineStr">
        <is>
          <t>Europe/Paris</t>
        </is>
      </c>
      <c r="L73" s="9" t="n"/>
      <c r="M73" s="9" t="inlineStr">
        <is>
          <t>France</t>
        </is>
      </c>
      <c r="N73" s="9" t="inlineStr">
        <is>
          <t>Hommes</t>
        </is>
      </c>
      <c r="O73" s="9" t="inlineStr">
        <is>
          <t>Officiel</t>
        </is>
      </c>
      <c r="P73" s="9" t="inlineStr">
        <is>
          <t>Oui</t>
        </is>
      </c>
      <c r="Q73" s="9" t="inlineStr">
        <is>
          <t>https://www.lfp.fr/article/publication-du-calendrier-general-de-la-ligue-2-bkt-pour-la-saison-2026-2027</t>
        </is>
      </c>
      <c r="R73" s="10" t="n">
        <v>46311</v>
      </c>
      <c r="S73" s="9" t="inlineStr">
        <is>
          <t>Aller mardi 1er juin, retour dimanche 6 juin ; adversaire = 3e de National selon la source (création Ligue 3 à vérifier)</t>
        </is>
      </c>
      <c r="T73" s="9">
        <f>IF(H73="","",IF(MAX(H73,I73)&lt;TODAY(),"Terminé",IF(H73&lt;=TODAY(),"En cours","À venir")))</f>
        <v/>
      </c>
    </row>
    <row r="74">
      <c r="A74" s="9" t="inlineStr">
        <is>
          <t>LIGA-2627-001</t>
        </is>
      </c>
      <c r="B74" s="9" t="inlineStr">
        <is>
          <t>Football</t>
        </is>
      </c>
      <c r="C74" s="9" t="inlineStr">
        <is>
          <t>LaLiga</t>
        </is>
      </c>
      <c r="D74" s="9" t="inlineStr">
        <is>
          <t>2026-2027</t>
        </is>
      </c>
      <c r="E74" s="9" t="inlineStr">
        <is>
          <t>Saison régulière</t>
        </is>
      </c>
      <c r="F74" s="9" t="n">
        <v>1</v>
      </c>
      <c r="G74" s="9" t="inlineStr">
        <is>
          <t>LaLiga – Journée 1</t>
        </is>
      </c>
      <c r="H74" s="10" t="n">
        <v>46249</v>
      </c>
      <c r="I74" s="10" t="n">
        <v>46261</v>
      </c>
      <c r="J74" s="11" t="n"/>
      <c r="K74" s="9" t="inlineStr">
        <is>
          <t>Europe/Paris</t>
        </is>
      </c>
      <c r="L74" s="9" t="n"/>
      <c r="M74" s="9" t="inlineStr">
        <is>
          <t>Espagne</t>
        </is>
      </c>
      <c r="N74" s="9" t="inlineStr">
        <is>
          <t>Hommes</t>
        </is>
      </c>
      <c r="O74" s="9" t="inlineStr">
        <is>
          <t>Officiel</t>
        </is>
      </c>
      <c r="P74" s="9" t="inlineStr">
        <is>
          <t>Oui</t>
        </is>
      </c>
      <c r="Q74" s="9" t="inlineStr">
        <is>
          <t>https://www.laliga.com/noticias/horarios-de-la-primera-jornada-de-laliga-ea-sports-2026-27</t>
        </is>
      </c>
      <c r="R74" s="10" t="n">
        <v>46311</v>
      </c>
      <c r="S74" s="9" t="inlineStr">
        <is>
          <t>Jornada étalée : clubs mondialistes jouent les 25-27 août</t>
        </is>
      </c>
      <c r="T74" s="9">
        <f>IF(H74="","",IF(MAX(H74,I74)&lt;TODAY(),"Terminé",IF(H74&lt;=TODAY(),"En cours","À venir")))</f>
        <v/>
      </c>
    </row>
    <row r="75">
      <c r="A75" s="9" t="inlineStr">
        <is>
          <t>LIGA-2627-002</t>
        </is>
      </c>
      <c r="B75" s="9" t="inlineStr">
        <is>
          <t>Football</t>
        </is>
      </c>
      <c r="C75" s="9" t="inlineStr">
        <is>
          <t>LaLiga</t>
        </is>
      </c>
      <c r="D75" s="9" t="inlineStr">
        <is>
          <t>2026-2027</t>
        </is>
      </c>
      <c r="E75" s="9" t="inlineStr">
        <is>
          <t>Saison régulière</t>
        </is>
      </c>
      <c r="F75" s="9" t="n">
        <v>2</v>
      </c>
      <c r="G75" s="9" t="inlineStr">
        <is>
          <t>LaLiga – Journée 2</t>
        </is>
      </c>
      <c r="H75" s="10" t="n">
        <v>46254</v>
      </c>
      <c r="I75" s="10" t="n">
        <v>46258</v>
      </c>
      <c r="J75" s="11" t="n"/>
      <c r="K75" s="9" t="inlineStr">
        <is>
          <t>Europe/Paris</t>
        </is>
      </c>
      <c r="L75" s="9" t="n"/>
      <c r="M75" s="9" t="inlineStr">
        <is>
          <t>Espagne</t>
        </is>
      </c>
      <c r="N75" s="9" t="inlineStr">
        <is>
          <t>Hommes</t>
        </is>
      </c>
      <c r="O75" s="9" t="inlineStr">
        <is>
          <t>Officiel</t>
        </is>
      </c>
      <c r="P75" s="9" t="inlineStr">
        <is>
          <t>Oui</t>
        </is>
      </c>
      <c r="Q75" s="9" t="inlineStr">
        <is>
          <t>https://www.laliga.com/noticias/horarios-de-la-segunda-jornada-de-laliga-ea-sports-2026-27</t>
        </is>
      </c>
      <c r="R75" s="10" t="n">
        <v>46311</v>
      </c>
      <c r="S75" s="9" t="inlineStr">
        <is>
          <t>Du jeudi 20 au lundi 24 août</t>
        </is>
      </c>
      <c r="T75" s="9">
        <f>IF(H75="","",IF(MAX(H75,I75)&lt;TODAY(),"Terminé",IF(H75&lt;=TODAY(),"En cours","À venir")))</f>
        <v/>
      </c>
    </row>
    <row r="76">
      <c r="A76" s="9" t="inlineStr">
        <is>
          <t>LIGA-2627-003</t>
        </is>
      </c>
      <c r="B76" s="9" t="inlineStr">
        <is>
          <t>Football</t>
        </is>
      </c>
      <c r="C76" s="9" t="inlineStr">
        <is>
          <t>LaLiga</t>
        </is>
      </c>
      <c r="D76" s="9" t="inlineStr">
        <is>
          <t>2026-2027</t>
        </is>
      </c>
      <c r="E76" s="9" t="inlineStr">
        <is>
          <t>Saison régulière</t>
        </is>
      </c>
      <c r="F76" s="9" t="n">
        <v>3</v>
      </c>
      <c r="G76" s="9" t="inlineStr">
        <is>
          <t>LaLiga – Journée 3</t>
        </is>
      </c>
      <c r="H76" s="10" t="n">
        <v>46262</v>
      </c>
      <c r="I76" s="10" t="n">
        <v>46265</v>
      </c>
      <c r="J76" s="11" t="n"/>
      <c r="K76" s="9" t="inlineStr">
        <is>
          <t>Europe/Paris</t>
        </is>
      </c>
      <c r="L76" s="9" t="n"/>
      <c r="M76" s="9" t="inlineStr">
        <is>
          <t>Espagne</t>
        </is>
      </c>
      <c r="N76" s="9" t="inlineStr">
        <is>
          <t>Hommes</t>
        </is>
      </c>
      <c r="O76" s="9" t="inlineStr">
        <is>
          <t>Officiel</t>
        </is>
      </c>
      <c r="P76" s="9" t="inlineStr">
        <is>
          <t>Oui</t>
        </is>
      </c>
      <c r="Q76" s="9" t="inlineStr">
        <is>
          <t>https://www.laliga.com/noticias/horarios-de-la-tercera-jornada-de-laliga-ea-sports-2026-27</t>
        </is>
      </c>
      <c r="R76" s="10" t="n">
        <v>46311</v>
      </c>
      <c r="S76" s="9" t="n"/>
      <c r="T76" s="9">
        <f>IF(H76="","",IF(MAX(H76,I76)&lt;TODAY(),"Terminé",IF(H76&lt;=TODAY(),"En cours","À venir")))</f>
        <v/>
      </c>
    </row>
    <row r="77">
      <c r="A77" s="9" t="inlineStr">
        <is>
          <t>LIGA-2627-004</t>
        </is>
      </c>
      <c r="B77" s="9" t="inlineStr">
        <is>
          <t>Football</t>
        </is>
      </c>
      <c r="C77" s="9" t="inlineStr">
        <is>
          <t>LaLiga</t>
        </is>
      </c>
      <c r="D77" s="9" t="inlineStr">
        <is>
          <t>2026-2027</t>
        </is>
      </c>
      <c r="E77" s="9" t="inlineStr">
        <is>
          <t>Saison régulière</t>
        </is>
      </c>
      <c r="F77" s="9" t="n">
        <v>4</v>
      </c>
      <c r="G77" s="9" t="inlineStr">
        <is>
          <t>LaLiga – Journée 4</t>
        </is>
      </c>
      <c r="H77" s="10" t="n">
        <v>46269</v>
      </c>
      <c r="I77" s="10" t="n">
        <v>46272</v>
      </c>
      <c r="J77" s="11" t="n"/>
      <c r="K77" s="9" t="inlineStr">
        <is>
          <t>Europe/Paris</t>
        </is>
      </c>
      <c r="L77" s="9" t="n"/>
      <c r="M77" s="9" t="inlineStr">
        <is>
          <t>Espagne</t>
        </is>
      </c>
      <c r="N77" s="9" t="inlineStr">
        <is>
          <t>Hommes</t>
        </is>
      </c>
      <c r="O77" s="9" t="inlineStr">
        <is>
          <t>Officiel</t>
        </is>
      </c>
      <c r="P77" s="9" t="inlineStr">
        <is>
          <t>Oui</t>
        </is>
      </c>
      <c r="Q77" s="9" t="inlineStr">
        <is>
          <t>https://www.laliga.com/noticias/horarios-de-la-cuarta-jornada-de-laliga-ea-sports-2026-27</t>
        </is>
      </c>
      <c r="R77" s="10" t="n">
        <v>46311</v>
      </c>
      <c r="S77" s="9" t="n"/>
      <c r="T77" s="9">
        <f>IF(H77="","",IF(MAX(H77,I77)&lt;TODAY(),"Terminé",IF(H77&lt;=TODAY(),"En cours","À venir")))</f>
        <v/>
      </c>
    </row>
    <row r="78">
      <c r="A78" s="9" t="inlineStr">
        <is>
          <t>LIGA-2627-005</t>
        </is>
      </c>
      <c r="B78" s="9" t="inlineStr">
        <is>
          <t>Football</t>
        </is>
      </c>
      <c r="C78" s="9" t="inlineStr">
        <is>
          <t>LaLiga</t>
        </is>
      </c>
      <c r="D78" s="9" t="inlineStr">
        <is>
          <t>2026-2027</t>
        </is>
      </c>
      <c r="E78" s="9" t="inlineStr">
        <is>
          <t>Saison régulière</t>
        </is>
      </c>
      <c r="F78" s="9" t="n">
        <v>5</v>
      </c>
      <c r="G78" s="9" t="inlineStr">
        <is>
          <t>LaLiga – Journée 5</t>
        </is>
      </c>
      <c r="H78" s="10" t="n">
        <v>46276</v>
      </c>
      <c r="I78" s="10" t="n">
        <v>46279</v>
      </c>
      <c r="J78" s="11" t="n"/>
      <c r="K78" s="9" t="inlineStr">
        <is>
          <t>Europe/Paris</t>
        </is>
      </c>
      <c r="L78" s="9" t="n"/>
      <c r="M78" s="9" t="inlineStr">
        <is>
          <t>Espagne</t>
        </is>
      </c>
      <c r="N78" s="9" t="inlineStr">
        <is>
          <t>Hommes</t>
        </is>
      </c>
      <c r="O78" s="9" t="inlineStr">
        <is>
          <t>Officiel</t>
        </is>
      </c>
      <c r="P78" s="9" t="inlineStr">
        <is>
          <t>Oui</t>
        </is>
      </c>
      <c r="Q78" s="9" t="inlineStr">
        <is>
          <t>https://www.laliga.com/noticias/horarios-de-la-quinta-jornada-de-laliga-ea-sports-2026-27</t>
        </is>
      </c>
      <c r="R78" s="10" t="n">
        <v>46311</v>
      </c>
      <c r="S78" s="9" t="n"/>
      <c r="T78" s="9">
        <f>IF(H78="","",IF(MAX(H78,I78)&lt;TODAY(),"Terminé",IF(H78&lt;=TODAY(),"En cours","À venir")))</f>
        <v/>
      </c>
    </row>
    <row r="79">
      <c r="A79" s="9" t="inlineStr">
        <is>
          <t>LIGA-2627-006</t>
        </is>
      </c>
      <c r="B79" s="9" t="inlineStr">
        <is>
          <t>Football</t>
        </is>
      </c>
      <c r="C79" s="9" t="inlineStr">
        <is>
          <t>LaLiga</t>
        </is>
      </c>
      <c r="D79" s="9" t="inlineStr">
        <is>
          <t>2026-2027</t>
        </is>
      </c>
      <c r="E79" s="9" t="inlineStr">
        <is>
          <t>Saison régulière</t>
        </is>
      </c>
      <c r="F79" s="9" t="n">
        <v>6</v>
      </c>
      <c r="G79" s="9" t="inlineStr">
        <is>
          <t>LaLiga – Journée 6</t>
        </is>
      </c>
      <c r="H79" s="10" t="n">
        <v>46280</v>
      </c>
      <c r="I79" s="10" t="n">
        <v>46282</v>
      </c>
      <c r="J79" s="11" t="n"/>
      <c r="K79" s="9" t="inlineStr">
        <is>
          <t>Europe/Paris</t>
        </is>
      </c>
      <c r="L79" s="9" t="n"/>
      <c r="M79" s="9" t="inlineStr">
        <is>
          <t>Espagne</t>
        </is>
      </c>
      <c r="N79" s="9" t="inlineStr">
        <is>
          <t>Hommes</t>
        </is>
      </c>
      <c r="O79" s="9" t="inlineStr">
        <is>
          <t>Officiel</t>
        </is>
      </c>
      <c r="P79" s="9" t="inlineStr">
        <is>
          <t>Oui</t>
        </is>
      </c>
      <c r="Q79" s="9" t="inlineStr">
        <is>
          <t>https://www.laliga.com/noticias/horarios-de-la-sexta-jornada-de-laliga-ea-sports-2026-27</t>
        </is>
      </c>
      <c r="R79" s="10" t="n">
        <v>46311</v>
      </c>
      <c r="S79" s="9" t="inlineStr">
        <is>
          <t>Journée en semaine (mar.–jeu.)</t>
        </is>
      </c>
      <c r="T79" s="9">
        <f>IF(H79="","",IF(MAX(H79,I79)&lt;TODAY(),"Terminé",IF(H79&lt;=TODAY(),"En cours","À venir")))</f>
        <v/>
      </c>
    </row>
    <row r="80">
      <c r="A80" s="9" t="inlineStr">
        <is>
          <t>LIGA-2627-007</t>
        </is>
      </c>
      <c r="B80" s="9" t="inlineStr">
        <is>
          <t>Football</t>
        </is>
      </c>
      <c r="C80" s="9" t="inlineStr">
        <is>
          <t>LaLiga</t>
        </is>
      </c>
      <c r="D80" s="9" t="inlineStr">
        <is>
          <t>2026-2027</t>
        </is>
      </c>
      <c r="E80" s="9" t="inlineStr">
        <is>
          <t>Saison régulière</t>
        </is>
      </c>
      <c r="F80" s="9" t="n">
        <v>7</v>
      </c>
      <c r="G80" s="9" t="inlineStr">
        <is>
          <t>LaLiga – Journée 7</t>
        </is>
      </c>
      <c r="H80" s="10" t="n">
        <v>46283</v>
      </c>
      <c r="I80" s="10" t="n">
        <v>46285</v>
      </c>
      <c r="J80" s="11" t="n"/>
      <c r="K80" s="9" t="inlineStr">
        <is>
          <t>Europe/Paris</t>
        </is>
      </c>
      <c r="L80" s="9" t="n"/>
      <c r="M80" s="9" t="inlineStr">
        <is>
          <t>Espagne</t>
        </is>
      </c>
      <c r="N80" s="9" t="inlineStr">
        <is>
          <t>Hommes</t>
        </is>
      </c>
      <c r="O80" s="9" t="inlineStr">
        <is>
          <t>Officiel</t>
        </is>
      </c>
      <c r="P80" s="9" t="inlineStr">
        <is>
          <t>Oui</t>
        </is>
      </c>
      <c r="Q80" s="9" t="inlineStr">
        <is>
          <t>https://www.laliga.com/noticias/horarios-de-la-septima-jornada-de-laliga-ea-sports-2026-27</t>
        </is>
      </c>
      <c r="R80" s="10" t="n">
        <v>46311</v>
      </c>
      <c r="S80" s="9" t="n"/>
      <c r="T80" s="9">
        <f>IF(H80="","",IF(MAX(H80,I80)&lt;TODAY(),"Terminé",IF(H80&lt;=TODAY(),"En cours","À venir")))</f>
        <v/>
      </c>
    </row>
    <row r="81">
      <c r="A81" s="9" t="inlineStr">
        <is>
          <t>LIGA-2627-008</t>
        </is>
      </c>
      <c r="B81" s="9" t="inlineStr">
        <is>
          <t>Football</t>
        </is>
      </c>
      <c r="C81" s="9" t="inlineStr">
        <is>
          <t>LaLiga</t>
        </is>
      </c>
      <c r="D81" s="9" t="inlineStr">
        <is>
          <t>2026-2027</t>
        </is>
      </c>
      <c r="E81" s="9" t="inlineStr">
        <is>
          <t>Saison régulière</t>
        </is>
      </c>
      <c r="F81" s="9" t="n">
        <v>8</v>
      </c>
      <c r="G81" s="9" t="inlineStr">
        <is>
          <t>LaLiga – Journée 8</t>
        </is>
      </c>
      <c r="H81" s="10" t="n">
        <v>46304</v>
      </c>
      <c r="I81" s="10" t="n">
        <v>46307</v>
      </c>
      <c r="J81" s="11" t="n"/>
      <c r="K81" s="9" t="inlineStr">
        <is>
          <t>Europe/Paris</t>
        </is>
      </c>
      <c r="L81" s="9" t="n"/>
      <c r="M81" s="9" t="inlineStr">
        <is>
          <t>Espagne</t>
        </is>
      </c>
      <c r="N81" s="9" t="inlineStr">
        <is>
          <t>Hommes</t>
        </is>
      </c>
      <c r="O81" s="9" t="inlineStr">
        <is>
          <t>Officiel</t>
        </is>
      </c>
      <c r="P81" s="9" t="inlineStr">
        <is>
          <t>Oui</t>
        </is>
      </c>
      <c r="Q81" s="9" t="inlineStr">
        <is>
          <t>https://www.laliga.com/noticias/horarios-de-la-octava-jornada-de-laliga-ea-sports-2026-27</t>
        </is>
      </c>
      <c r="R81" s="10" t="n">
        <v>46311</v>
      </c>
      <c r="S81" s="9" t="n"/>
      <c r="T81" s="9">
        <f>IF(H81="","",IF(MAX(H81,I81)&lt;TODAY(),"Terminé",IF(H81&lt;=TODAY(),"En cours","À venir")))</f>
        <v/>
      </c>
    </row>
    <row r="82">
      <c r="A82" s="9" t="inlineStr">
        <is>
          <t>LIGA-2627-009</t>
        </is>
      </c>
      <c r="B82" s="9" t="inlineStr">
        <is>
          <t>Football</t>
        </is>
      </c>
      <c r="C82" s="9" t="inlineStr">
        <is>
          <t>LaLiga</t>
        </is>
      </c>
      <c r="D82" s="9" t="inlineStr">
        <is>
          <t>2026-2027</t>
        </is>
      </c>
      <c r="E82" s="9" t="inlineStr">
        <is>
          <t>Saison régulière</t>
        </is>
      </c>
      <c r="F82" s="9" t="n">
        <v>9</v>
      </c>
      <c r="G82" s="9" t="inlineStr">
        <is>
          <t>LaLiga – Journée 9</t>
        </is>
      </c>
      <c r="H82" s="10" t="n">
        <v>46311</v>
      </c>
      <c r="I82" s="10" t="n">
        <v>46314</v>
      </c>
      <c r="J82" s="11" t="n"/>
      <c r="K82" s="9" t="inlineStr">
        <is>
          <t>Europe/Paris</t>
        </is>
      </c>
      <c r="L82" s="9" t="n"/>
      <c r="M82" s="9" t="inlineStr">
        <is>
          <t>Espagne</t>
        </is>
      </c>
      <c r="N82" s="9" t="inlineStr">
        <is>
          <t>Hommes</t>
        </is>
      </c>
      <c r="O82" s="9" t="inlineStr">
        <is>
          <t>Officiel</t>
        </is>
      </c>
      <c r="P82" s="9" t="inlineStr">
        <is>
          <t>Oui</t>
        </is>
      </c>
      <c r="Q82" s="9" t="inlineStr">
        <is>
          <t>https://www.laliga.com/noticias/horarios-de-la-novena-jornada-de-laliga-ea-sports-2026-27</t>
        </is>
      </c>
      <c r="R82" s="10" t="n">
        <v>46311</v>
      </c>
      <c r="S82" s="9" t="n"/>
      <c r="T82" s="9">
        <f>IF(H82="","",IF(MAX(H82,I82)&lt;TODAY(),"Terminé",IF(H82&lt;=TODAY(),"En cours","À venir")))</f>
        <v/>
      </c>
    </row>
    <row r="83">
      <c r="A83" s="9" t="inlineStr">
        <is>
          <t>LIGA-2627-010</t>
        </is>
      </c>
      <c r="B83" s="9" t="inlineStr">
        <is>
          <t>Football</t>
        </is>
      </c>
      <c r="C83" s="9" t="inlineStr">
        <is>
          <t>LaLiga</t>
        </is>
      </c>
      <c r="D83" s="9" t="inlineStr">
        <is>
          <t>2026-2027</t>
        </is>
      </c>
      <c r="E83" s="9" t="inlineStr">
        <is>
          <t>Saison régulière</t>
        </is>
      </c>
      <c r="F83" s="9" t="n">
        <v>10</v>
      </c>
      <c r="G83" s="9" t="inlineStr">
        <is>
          <t>LaLiga – Journée 10</t>
        </is>
      </c>
      <c r="H83" s="10" t="n">
        <v>46318</v>
      </c>
      <c r="I83" s="10" t="n">
        <v>46321</v>
      </c>
      <c r="J83" s="11" t="n"/>
      <c r="K83" s="9" t="inlineStr">
        <is>
          <t>Europe/Paris</t>
        </is>
      </c>
      <c r="L83" s="9" t="n"/>
      <c r="M83" s="9" t="inlineStr">
        <is>
          <t>Espagne</t>
        </is>
      </c>
      <c r="N83" s="9" t="inlineStr">
        <is>
          <t>Hommes</t>
        </is>
      </c>
      <c r="O83" s="9" t="inlineStr">
        <is>
          <t>Officiel</t>
        </is>
      </c>
      <c r="P83" s="9" t="inlineStr">
        <is>
          <t>Oui</t>
        </is>
      </c>
      <c r="Q83" s="9" t="inlineStr">
        <is>
          <t>https://www.laliga.com/noticias/horarios-de-la-decima-jornada-de-laliga-ea-sports-2026-27</t>
        </is>
      </c>
      <c r="R83" s="10" t="n">
        <v>46311</v>
      </c>
      <c r="S83" s="9" t="inlineStr">
        <is>
          <t>Clasico Barça–Real Madrid</t>
        </is>
      </c>
      <c r="T83" s="9">
        <f>IF(H83="","",IF(MAX(H83,I83)&lt;TODAY(),"Terminé",IF(H83&lt;=TODAY(),"En cours","À venir")))</f>
        <v/>
      </c>
    </row>
    <row r="84">
      <c r="A84" s="9" t="inlineStr">
        <is>
          <t>LIGA-2627-011</t>
        </is>
      </c>
      <c r="B84" s="9" t="inlineStr">
        <is>
          <t>Football</t>
        </is>
      </c>
      <c r="C84" s="9" t="inlineStr">
        <is>
          <t>LaLiga</t>
        </is>
      </c>
      <c r="D84" s="9" t="inlineStr">
        <is>
          <t>2026-2027</t>
        </is>
      </c>
      <c r="E84" s="9" t="inlineStr">
        <is>
          <t>Saison régulière</t>
        </is>
      </c>
      <c r="F84" s="9" t="n">
        <v>11</v>
      </c>
      <c r="G84" s="9" t="inlineStr">
        <is>
          <t>LaLiga – Journée 11</t>
        </is>
      </c>
      <c r="H84" s="10" t="n">
        <v>46325</v>
      </c>
      <c r="I84" s="10" t="n">
        <v>46328</v>
      </c>
      <c r="J84" s="11" t="n"/>
      <c r="K84" s="9" t="inlineStr">
        <is>
          <t>Europe/Paris</t>
        </is>
      </c>
      <c r="L84" s="9" t="n"/>
      <c r="M84" s="9" t="inlineStr">
        <is>
          <t>Espagne</t>
        </is>
      </c>
      <c r="N84" s="9" t="inlineStr">
        <is>
          <t>Hommes</t>
        </is>
      </c>
      <c r="O84" s="9" t="inlineStr">
        <is>
          <t>Officiel</t>
        </is>
      </c>
      <c r="P84" s="9" t="inlineStr">
        <is>
          <t>Oui</t>
        </is>
      </c>
      <c r="Q84" s="9" t="inlineStr">
        <is>
          <t>https://www.laliga.com/noticias/horarios-de-la-undecima-jornada-de-laliga-ea-sports-2026-27</t>
        </is>
      </c>
      <c r="R84" s="10" t="n">
        <v>46311</v>
      </c>
      <c r="S84" s="9" t="n"/>
      <c r="T84" s="9">
        <f>IF(H84="","",IF(MAX(H84,I84)&lt;TODAY(),"Terminé",IF(H84&lt;=TODAY(),"En cours","À venir")))</f>
        <v/>
      </c>
    </row>
    <row r="85">
      <c r="A85" s="9" t="inlineStr">
        <is>
          <t>LIGA-2627-012</t>
        </is>
      </c>
      <c r="B85" s="9" t="inlineStr">
        <is>
          <t>Football</t>
        </is>
      </c>
      <c r="C85" s="9" t="inlineStr">
        <is>
          <t>LaLiga</t>
        </is>
      </c>
      <c r="D85" s="9" t="inlineStr">
        <is>
          <t>2026-2027</t>
        </is>
      </c>
      <c r="E85" s="9" t="inlineStr">
        <is>
          <t>Saison régulière</t>
        </is>
      </c>
      <c r="F85" s="9" t="n">
        <v>12</v>
      </c>
      <c r="G85" s="9" t="inlineStr">
        <is>
          <t>LaLiga – Journée 12</t>
        </is>
      </c>
      <c r="H85" s="10" t="n">
        <v>46332</v>
      </c>
      <c r="I85" s="10" t="n">
        <v>46334</v>
      </c>
      <c r="J85" s="11" t="n"/>
      <c r="K85" s="9" t="inlineStr">
        <is>
          <t>Europe/Paris</t>
        </is>
      </c>
      <c r="L85" s="9" t="n"/>
      <c r="M85" s="9" t="inlineStr">
        <is>
          <t>Espagne</t>
        </is>
      </c>
      <c r="N85" s="9" t="inlineStr">
        <is>
          <t>Hommes</t>
        </is>
      </c>
      <c r="O85" s="9" t="inlineStr">
        <is>
          <t>Officiel</t>
        </is>
      </c>
      <c r="P85" s="9" t="inlineStr">
        <is>
          <t>Oui</t>
        </is>
      </c>
      <c r="Q85" s="9" t="inlineStr">
        <is>
          <t>https://www.laliga.com/noticias/horarios-de-la-duodecima-jornada-de-laliga-ea-sports-2026-27</t>
        </is>
      </c>
      <c r="R85" s="10" t="n">
        <v>46311</v>
      </c>
      <c r="S85" s="9" t="n"/>
      <c r="T85" s="9">
        <f>IF(H85="","",IF(MAX(H85,I85)&lt;TODAY(),"Terminé",IF(H85&lt;=TODAY(),"En cours","À venir")))</f>
        <v/>
      </c>
    </row>
    <row r="86">
      <c r="A86" s="9" t="inlineStr">
        <is>
          <t>LIGA-2627-013</t>
        </is>
      </c>
      <c r="B86" s="9" t="inlineStr">
        <is>
          <t>Football</t>
        </is>
      </c>
      <c r="C86" s="9" t="inlineStr">
        <is>
          <t>LaLiga</t>
        </is>
      </c>
      <c r="D86" s="9" t="inlineStr">
        <is>
          <t>2026-2027</t>
        </is>
      </c>
      <c r="E86" s="9" t="inlineStr">
        <is>
          <t>Saison régulière</t>
        </is>
      </c>
      <c r="F86" s="9" t="n">
        <v>13</v>
      </c>
      <c r="G86" s="9" t="inlineStr">
        <is>
          <t>LaLiga – Journée 13</t>
        </is>
      </c>
      <c r="H86" s="10" t="n">
        <v>46346</v>
      </c>
      <c r="I86" s="10" t="n">
        <v>46349</v>
      </c>
      <c r="J86" s="11" t="n"/>
      <c r="K86" s="9" t="inlineStr">
        <is>
          <t>Europe/Paris</t>
        </is>
      </c>
      <c r="L86" s="9" t="n"/>
      <c r="M86" s="9" t="inlineStr">
        <is>
          <t>Espagne</t>
        </is>
      </c>
      <c r="N86" s="9" t="inlineStr">
        <is>
          <t>Hommes</t>
        </is>
      </c>
      <c r="O86" s="9" t="inlineStr">
        <is>
          <t>Provisoire</t>
        </is>
      </c>
      <c r="P86" s="9" t="inlineStr">
        <is>
          <t>Oui</t>
        </is>
      </c>
      <c r="Q86" s="9" t="inlineStr">
        <is>
          <t>https://rfef.es/sites/default/files/2026-06/Campeonato_de_Primera_Division_0.pdf</t>
        </is>
      </c>
      <c r="R86" s="10" t="n">
        <v>46311</v>
      </c>
      <c r="S86" s="9" t="inlineStr">
        <is>
          <t>Date de référence RFEF : 22/11 ; fenêtre ven.–lun. ; horaires non publiés</t>
        </is>
      </c>
      <c r="T86" s="9">
        <f>IF(H86="","",IF(MAX(H86,I86)&lt;TODAY(),"Terminé",IF(H86&lt;=TODAY(),"En cours","À venir")))</f>
        <v/>
      </c>
    </row>
    <row r="87">
      <c r="A87" s="9" t="inlineStr">
        <is>
          <t>LIGA-2627-014</t>
        </is>
      </c>
      <c r="B87" s="9" t="inlineStr">
        <is>
          <t>Football</t>
        </is>
      </c>
      <c r="C87" s="9" t="inlineStr">
        <is>
          <t>LaLiga</t>
        </is>
      </c>
      <c r="D87" s="9" t="inlineStr">
        <is>
          <t>2026-2027</t>
        </is>
      </c>
      <c r="E87" s="9" t="inlineStr">
        <is>
          <t>Saison régulière</t>
        </is>
      </c>
      <c r="F87" s="9" t="n">
        <v>14</v>
      </c>
      <c r="G87" s="9" t="inlineStr">
        <is>
          <t>LaLiga – Journée 14</t>
        </is>
      </c>
      <c r="H87" s="10" t="n">
        <v>46353</v>
      </c>
      <c r="I87" s="10" t="n">
        <v>46356</v>
      </c>
      <c r="J87" s="11" t="n"/>
      <c r="K87" s="9" t="inlineStr">
        <is>
          <t>Europe/Paris</t>
        </is>
      </c>
      <c r="L87" s="9" t="n"/>
      <c r="M87" s="9" t="inlineStr">
        <is>
          <t>Espagne</t>
        </is>
      </c>
      <c r="N87" s="9" t="inlineStr">
        <is>
          <t>Hommes</t>
        </is>
      </c>
      <c r="O87" s="9" t="inlineStr">
        <is>
          <t>Provisoire</t>
        </is>
      </c>
      <c r="P87" s="9" t="inlineStr">
        <is>
          <t>Oui</t>
        </is>
      </c>
      <c r="Q87" s="9" t="inlineStr">
        <is>
          <t>https://rfef.es/sites/default/files/2026-06/Campeonato_de_Primera_Division_0.pdf</t>
        </is>
      </c>
      <c r="R87" s="10" t="n">
        <v>46311</v>
      </c>
      <c r="S87" s="9" t="inlineStr">
        <is>
          <t>Date de référence RFEF : 29/11 ; fenêtre ven.–lun. ; horaires non publiés</t>
        </is>
      </c>
      <c r="T87" s="9">
        <f>IF(H87="","",IF(MAX(H87,I87)&lt;TODAY(),"Terminé",IF(H87&lt;=TODAY(),"En cours","À venir")))</f>
        <v/>
      </c>
    </row>
    <row r="88">
      <c r="A88" s="9" t="inlineStr">
        <is>
          <t>LIGA-2627-015</t>
        </is>
      </c>
      <c r="B88" s="9" t="inlineStr">
        <is>
          <t>Football</t>
        </is>
      </c>
      <c r="C88" s="9" t="inlineStr">
        <is>
          <t>LaLiga</t>
        </is>
      </c>
      <c r="D88" s="9" t="inlineStr">
        <is>
          <t>2026-2027</t>
        </is>
      </c>
      <c r="E88" s="9" t="inlineStr">
        <is>
          <t>Saison régulière</t>
        </is>
      </c>
      <c r="F88" s="9" t="n">
        <v>15</v>
      </c>
      <c r="G88" s="9" t="inlineStr">
        <is>
          <t>LaLiga – Journée 15</t>
        </is>
      </c>
      <c r="H88" s="10" t="n">
        <v>46360</v>
      </c>
      <c r="I88" s="10" t="n">
        <v>46363</v>
      </c>
      <c r="J88" s="11" t="n"/>
      <c r="K88" s="9" t="inlineStr">
        <is>
          <t>Europe/Paris</t>
        </is>
      </c>
      <c r="L88" s="9" t="n"/>
      <c r="M88" s="9" t="inlineStr">
        <is>
          <t>Espagne</t>
        </is>
      </c>
      <c r="N88" s="9" t="inlineStr">
        <is>
          <t>Hommes</t>
        </is>
      </c>
      <c r="O88" s="9" t="inlineStr">
        <is>
          <t>Provisoire</t>
        </is>
      </c>
      <c r="P88" s="9" t="inlineStr">
        <is>
          <t>Oui</t>
        </is>
      </c>
      <c r="Q88" s="9" t="inlineStr">
        <is>
          <t>https://rfef.es/sites/default/files/2026-06/Campeonato_de_Primera_Division_0.pdf</t>
        </is>
      </c>
      <c r="R88" s="10" t="n">
        <v>46311</v>
      </c>
      <c r="S88" s="9" t="inlineStr">
        <is>
          <t>Date de référence RFEF : 06/12 ; fenêtre ven.–lun. ; horaires non publiés</t>
        </is>
      </c>
      <c r="T88" s="9">
        <f>IF(H88="","",IF(MAX(H88,I88)&lt;TODAY(),"Terminé",IF(H88&lt;=TODAY(),"En cours","À venir")))</f>
        <v/>
      </c>
    </row>
    <row r="89">
      <c r="A89" s="9" t="inlineStr">
        <is>
          <t>LIGA-2627-016</t>
        </is>
      </c>
      <c r="B89" s="9" t="inlineStr">
        <is>
          <t>Football</t>
        </is>
      </c>
      <c r="C89" s="9" t="inlineStr">
        <is>
          <t>LaLiga</t>
        </is>
      </c>
      <c r="D89" s="9" t="inlineStr">
        <is>
          <t>2026-2027</t>
        </is>
      </c>
      <c r="E89" s="9" t="inlineStr">
        <is>
          <t>Saison régulière</t>
        </is>
      </c>
      <c r="F89" s="9" t="n">
        <v>16</v>
      </c>
      <c r="G89" s="9" t="inlineStr">
        <is>
          <t>LaLiga – Journée 16</t>
        </is>
      </c>
      <c r="H89" s="10" t="n">
        <v>46367</v>
      </c>
      <c r="I89" s="10" t="n">
        <v>46370</v>
      </c>
      <c r="J89" s="11" t="n"/>
      <c r="K89" s="9" t="inlineStr">
        <is>
          <t>Europe/Paris</t>
        </is>
      </c>
      <c r="L89" s="9" t="n"/>
      <c r="M89" s="9" t="inlineStr">
        <is>
          <t>Espagne</t>
        </is>
      </c>
      <c r="N89" s="9" t="inlineStr">
        <is>
          <t>Hommes</t>
        </is>
      </c>
      <c r="O89" s="9" t="inlineStr">
        <is>
          <t>Provisoire</t>
        </is>
      </c>
      <c r="P89" s="9" t="inlineStr">
        <is>
          <t>Oui</t>
        </is>
      </c>
      <c r="Q89" s="9" t="inlineStr">
        <is>
          <t>https://rfef.es/sites/default/files/2026-06/Campeonato_de_Primera_Division_0.pdf</t>
        </is>
      </c>
      <c r="R89" s="10" t="n">
        <v>46311</v>
      </c>
      <c r="S89" s="9" t="inlineStr">
        <is>
          <t>Date de référence RFEF : 13/12 ; fenêtre ven.–lun. ; horaires non publiés</t>
        </is>
      </c>
      <c r="T89" s="9">
        <f>IF(H89="","",IF(MAX(H89,I89)&lt;TODAY(),"Terminé",IF(H89&lt;=TODAY(),"En cours","À venir")))</f>
        <v/>
      </c>
    </row>
    <row r="90">
      <c r="A90" s="9" t="inlineStr">
        <is>
          <t>LIGA-2627-017</t>
        </is>
      </c>
      <c r="B90" s="9" t="inlineStr">
        <is>
          <t>Football</t>
        </is>
      </c>
      <c r="C90" s="9" t="inlineStr">
        <is>
          <t>LaLiga</t>
        </is>
      </c>
      <c r="D90" s="9" t="inlineStr">
        <is>
          <t>2026-2027</t>
        </is>
      </c>
      <c r="E90" s="9" t="inlineStr">
        <is>
          <t>Saison régulière</t>
        </is>
      </c>
      <c r="F90" s="9" t="n">
        <v>17</v>
      </c>
      <c r="G90" s="9" t="inlineStr">
        <is>
          <t>LaLiga – Journée 17</t>
        </is>
      </c>
      <c r="H90" s="10" t="n">
        <v>46374</v>
      </c>
      <c r="I90" s="10" t="n">
        <v>46377</v>
      </c>
      <c r="J90" s="11" t="n"/>
      <c r="K90" s="9" t="inlineStr">
        <is>
          <t>Europe/Paris</t>
        </is>
      </c>
      <c r="L90" s="9" t="n"/>
      <c r="M90" s="9" t="inlineStr">
        <is>
          <t>Espagne</t>
        </is>
      </c>
      <c r="N90" s="9" t="inlineStr">
        <is>
          <t>Hommes</t>
        </is>
      </c>
      <c r="O90" s="9" t="inlineStr">
        <is>
          <t>Provisoire</t>
        </is>
      </c>
      <c r="P90" s="9" t="inlineStr">
        <is>
          <t>Oui</t>
        </is>
      </c>
      <c r="Q90" s="9" t="inlineStr">
        <is>
          <t>https://rfef.es/sites/default/files/2026-06/Campeonato_de_Primera_Division_0.pdf</t>
        </is>
      </c>
      <c r="R90" s="10" t="n">
        <v>46311</v>
      </c>
      <c r="S90" s="9" t="inlineStr">
        <is>
          <t>Date de référence RFEF : 20/12 ; fenêtre ven.–lun. ; horaires non publiés</t>
        </is>
      </c>
      <c r="T90" s="9">
        <f>IF(H90="","",IF(MAX(H90,I90)&lt;TODAY(),"Terminé",IF(H90&lt;=TODAY(),"En cours","À venir")))</f>
        <v/>
      </c>
    </row>
    <row r="91">
      <c r="A91" s="9" t="inlineStr">
        <is>
          <t>LIGA-2627-018</t>
        </is>
      </c>
      <c r="B91" s="9" t="inlineStr">
        <is>
          <t>Football</t>
        </is>
      </c>
      <c r="C91" s="9" t="inlineStr">
        <is>
          <t>LaLiga</t>
        </is>
      </c>
      <c r="D91" s="9" t="inlineStr">
        <is>
          <t>2026-2027</t>
        </is>
      </c>
      <c r="E91" s="9" t="inlineStr">
        <is>
          <t>Saison régulière</t>
        </is>
      </c>
      <c r="F91" s="9" t="n">
        <v>18</v>
      </c>
      <c r="G91" s="9" t="inlineStr">
        <is>
          <t>LaLiga – Journée 18</t>
        </is>
      </c>
      <c r="H91" s="10" t="n">
        <v>46389</v>
      </c>
      <c r="I91" s="10" t="n">
        <v>46391</v>
      </c>
      <c r="J91" s="11" t="n"/>
      <c r="K91" s="9" t="inlineStr">
        <is>
          <t>Europe/Paris</t>
        </is>
      </c>
      <c r="L91" s="9" t="n"/>
      <c r="M91" s="9" t="inlineStr">
        <is>
          <t>Espagne</t>
        </is>
      </c>
      <c r="N91" s="9" t="inlineStr">
        <is>
          <t>Hommes</t>
        </is>
      </c>
      <c r="O91" s="9" t="inlineStr">
        <is>
          <t>Provisoire</t>
        </is>
      </c>
      <c r="P91" s="9" t="inlineStr">
        <is>
          <t>Oui</t>
        </is>
      </c>
      <c r="Q91" s="9" t="inlineStr">
        <is>
          <t>https://rfef.es/sites/default/files/2026-06/Campeonato_de_Primera_Division_0.pdf</t>
        </is>
      </c>
      <c r="R91" s="10" t="n">
        <v>46311</v>
      </c>
      <c r="S91" s="9" t="inlineStr">
        <is>
          <t>Date de référence RFEF : 03/01 ; fenêtre sam.–lun. (1er janvier exclu) ; horaires non publiés</t>
        </is>
      </c>
      <c r="T91" s="9">
        <f>IF(H91="","",IF(MAX(H91,I91)&lt;TODAY(),"Terminé",IF(H91&lt;=TODAY(),"En cours","À venir")))</f>
        <v/>
      </c>
    </row>
    <row r="92">
      <c r="A92" s="9" t="inlineStr">
        <is>
          <t>LIGA-2627-019</t>
        </is>
      </c>
      <c r="B92" s="9" t="inlineStr">
        <is>
          <t>Football</t>
        </is>
      </c>
      <c r="C92" s="9" t="inlineStr">
        <is>
          <t>LaLiga</t>
        </is>
      </c>
      <c r="D92" s="9" t="inlineStr">
        <is>
          <t>2026-2027</t>
        </is>
      </c>
      <c r="E92" s="9" t="inlineStr">
        <is>
          <t>Saison régulière</t>
        </is>
      </c>
      <c r="F92" s="9" t="n">
        <v>19</v>
      </c>
      <c r="G92" s="9" t="inlineStr">
        <is>
          <t>LaLiga – Journée 19</t>
        </is>
      </c>
      <c r="H92" s="10" t="n">
        <v>46395</v>
      </c>
      <c r="I92" s="10" t="n">
        <v>46398</v>
      </c>
      <c r="J92" s="11" t="n"/>
      <c r="K92" s="9" t="inlineStr">
        <is>
          <t>Europe/Paris</t>
        </is>
      </c>
      <c r="L92" s="9" t="n"/>
      <c r="M92" s="9" t="inlineStr">
        <is>
          <t>Espagne</t>
        </is>
      </c>
      <c r="N92" s="9" t="inlineStr">
        <is>
          <t>Hommes</t>
        </is>
      </c>
      <c r="O92" s="9" t="inlineStr">
        <is>
          <t>Provisoire</t>
        </is>
      </c>
      <c r="P92" s="9" t="inlineStr">
        <is>
          <t>Oui</t>
        </is>
      </c>
      <c r="Q92" s="9" t="inlineStr">
        <is>
          <t>https://rfef.es/sites/default/files/2026-06/Campeonato_de_Primera_Division_0.pdf</t>
        </is>
      </c>
      <c r="R92" s="10" t="n">
        <v>46311</v>
      </c>
      <c r="S92" s="9" t="inlineStr">
        <is>
          <t>Date de référence RFEF : 10/01 ; fenêtre ven.–lun. ; horaires non publiés</t>
        </is>
      </c>
      <c r="T92" s="9">
        <f>IF(H92="","",IF(MAX(H92,I92)&lt;TODAY(),"Terminé",IF(H92&lt;=TODAY(),"En cours","À venir")))</f>
        <v/>
      </c>
    </row>
    <row r="93">
      <c r="A93" s="9" t="inlineStr">
        <is>
          <t>LIGA-2627-020</t>
        </is>
      </c>
      <c r="B93" s="9" t="inlineStr">
        <is>
          <t>Football</t>
        </is>
      </c>
      <c r="C93" s="9" t="inlineStr">
        <is>
          <t>LaLiga</t>
        </is>
      </c>
      <c r="D93" s="9" t="inlineStr">
        <is>
          <t>2026-2027</t>
        </is>
      </c>
      <c r="E93" s="9" t="inlineStr">
        <is>
          <t>Saison régulière</t>
        </is>
      </c>
      <c r="F93" s="9" t="n">
        <v>20</v>
      </c>
      <c r="G93" s="9" t="inlineStr">
        <is>
          <t>LaLiga – Journée 20</t>
        </is>
      </c>
      <c r="H93" s="10" t="n">
        <v>46402</v>
      </c>
      <c r="I93" s="10" t="n">
        <v>46405</v>
      </c>
      <c r="J93" s="11" t="n"/>
      <c r="K93" s="9" t="inlineStr">
        <is>
          <t>Europe/Paris</t>
        </is>
      </c>
      <c r="L93" s="9" t="n"/>
      <c r="M93" s="9" t="inlineStr">
        <is>
          <t>Espagne</t>
        </is>
      </c>
      <c r="N93" s="9" t="inlineStr">
        <is>
          <t>Hommes</t>
        </is>
      </c>
      <c r="O93" s="9" t="inlineStr">
        <is>
          <t>Provisoire</t>
        </is>
      </c>
      <c r="P93" s="9" t="inlineStr">
        <is>
          <t>Oui</t>
        </is>
      </c>
      <c r="Q93" s="9" t="inlineStr">
        <is>
          <t>https://rfef.es/sites/default/files/2026-06/Campeonato_de_Primera_Division_0.pdf</t>
        </is>
      </c>
      <c r="R93" s="10" t="n">
        <v>46311</v>
      </c>
      <c r="S93" s="9" t="inlineStr">
        <is>
          <t>Date de référence RFEF : 17/01 ; fenêtre ven.–lun. ; horaires non publiés</t>
        </is>
      </c>
      <c r="T93" s="9">
        <f>IF(H93="","",IF(MAX(H93,I93)&lt;TODAY(),"Terminé",IF(H93&lt;=TODAY(),"En cours","À venir")))</f>
        <v/>
      </c>
    </row>
    <row r="94">
      <c r="A94" s="9" t="inlineStr">
        <is>
          <t>LIGA-2627-021</t>
        </is>
      </c>
      <c r="B94" s="9" t="inlineStr">
        <is>
          <t>Football</t>
        </is>
      </c>
      <c r="C94" s="9" t="inlineStr">
        <is>
          <t>LaLiga</t>
        </is>
      </c>
      <c r="D94" s="9" t="inlineStr">
        <is>
          <t>2026-2027</t>
        </is>
      </c>
      <c r="E94" s="9" t="inlineStr">
        <is>
          <t>Saison régulière</t>
        </is>
      </c>
      <c r="F94" s="9" t="n">
        <v>21</v>
      </c>
      <c r="G94" s="9" t="inlineStr">
        <is>
          <t>LaLiga – Journée 21</t>
        </is>
      </c>
      <c r="H94" s="10" t="n">
        <v>46409</v>
      </c>
      <c r="I94" s="10" t="n">
        <v>46412</v>
      </c>
      <c r="J94" s="11" t="n"/>
      <c r="K94" s="9" t="inlineStr">
        <is>
          <t>Europe/Paris</t>
        </is>
      </c>
      <c r="L94" s="9" t="n"/>
      <c r="M94" s="9" t="inlineStr">
        <is>
          <t>Espagne</t>
        </is>
      </c>
      <c r="N94" s="9" t="inlineStr">
        <is>
          <t>Hommes</t>
        </is>
      </c>
      <c r="O94" s="9" t="inlineStr">
        <is>
          <t>Provisoire</t>
        </is>
      </c>
      <c r="P94" s="9" t="inlineStr">
        <is>
          <t>Oui</t>
        </is>
      </c>
      <c r="Q94" s="9" t="inlineStr">
        <is>
          <t>https://rfef.es/sites/default/files/2026-06/Campeonato_de_Primera_Division_0.pdf</t>
        </is>
      </c>
      <c r="R94" s="10" t="n">
        <v>46311</v>
      </c>
      <c r="S94" s="9" t="inlineStr">
        <is>
          <t>Date de référence RFEF : 24/01 ; fenêtre ven.–lun. ; horaires non publiés</t>
        </is>
      </c>
      <c r="T94" s="9">
        <f>IF(H94="","",IF(MAX(H94,I94)&lt;TODAY(),"Terminé",IF(H94&lt;=TODAY(),"En cours","À venir")))</f>
        <v/>
      </c>
    </row>
    <row r="95">
      <c r="A95" s="9" t="inlineStr">
        <is>
          <t>LIGA-2627-022</t>
        </is>
      </c>
      <c r="B95" s="9" t="inlineStr">
        <is>
          <t>Football</t>
        </is>
      </c>
      <c r="C95" s="9" t="inlineStr">
        <is>
          <t>LaLiga</t>
        </is>
      </c>
      <c r="D95" s="9" t="inlineStr">
        <is>
          <t>2026-2027</t>
        </is>
      </c>
      <c r="E95" s="9" t="inlineStr">
        <is>
          <t>Saison régulière</t>
        </is>
      </c>
      <c r="F95" s="9" t="n">
        <v>22</v>
      </c>
      <c r="G95" s="9" t="inlineStr">
        <is>
          <t>LaLiga – Journée 22</t>
        </is>
      </c>
      <c r="H95" s="10" t="n">
        <v>46416</v>
      </c>
      <c r="I95" s="10" t="n">
        <v>46419</v>
      </c>
      <c r="J95" s="11" t="n"/>
      <c r="K95" s="9" t="inlineStr">
        <is>
          <t>Europe/Paris</t>
        </is>
      </c>
      <c r="L95" s="9" t="n"/>
      <c r="M95" s="9" t="inlineStr">
        <is>
          <t>Espagne</t>
        </is>
      </c>
      <c r="N95" s="9" t="inlineStr">
        <is>
          <t>Hommes</t>
        </is>
      </c>
      <c r="O95" s="9" t="inlineStr">
        <is>
          <t>Provisoire</t>
        </is>
      </c>
      <c r="P95" s="9" t="inlineStr">
        <is>
          <t>Oui</t>
        </is>
      </c>
      <c r="Q95" s="9" t="inlineStr">
        <is>
          <t>https://rfef.es/sites/default/files/2026-06/Campeonato_de_Primera_Division_0.pdf</t>
        </is>
      </c>
      <c r="R95" s="10" t="n">
        <v>46311</v>
      </c>
      <c r="S95" s="9" t="inlineStr">
        <is>
          <t>Date de référence RFEF : 31/01 ; fenêtre ven.–lun. ; horaires non publiés</t>
        </is>
      </c>
      <c r="T95" s="9">
        <f>IF(H95="","",IF(MAX(H95,I95)&lt;TODAY(),"Terminé",IF(H95&lt;=TODAY(),"En cours","À venir")))</f>
        <v/>
      </c>
    </row>
    <row r="96">
      <c r="A96" s="9" t="inlineStr">
        <is>
          <t>LIGA-2627-023</t>
        </is>
      </c>
      <c r="B96" s="9" t="inlineStr">
        <is>
          <t>Football</t>
        </is>
      </c>
      <c r="C96" s="9" t="inlineStr">
        <is>
          <t>LaLiga</t>
        </is>
      </c>
      <c r="D96" s="9" t="inlineStr">
        <is>
          <t>2026-2027</t>
        </is>
      </c>
      <c r="E96" s="9" t="inlineStr">
        <is>
          <t>Saison régulière</t>
        </is>
      </c>
      <c r="F96" s="9" t="n">
        <v>23</v>
      </c>
      <c r="G96" s="9" t="inlineStr">
        <is>
          <t>LaLiga – Journée 23</t>
        </is>
      </c>
      <c r="H96" s="10" t="n">
        <v>46423</v>
      </c>
      <c r="I96" s="10" t="n">
        <v>46426</v>
      </c>
      <c r="J96" s="11" t="n"/>
      <c r="K96" s="9" t="inlineStr">
        <is>
          <t>Europe/Paris</t>
        </is>
      </c>
      <c r="L96" s="9" t="n"/>
      <c r="M96" s="9" t="inlineStr">
        <is>
          <t>Espagne</t>
        </is>
      </c>
      <c r="N96" s="9" t="inlineStr">
        <is>
          <t>Hommes</t>
        </is>
      </c>
      <c r="O96" s="9" t="inlineStr">
        <is>
          <t>Provisoire</t>
        </is>
      </c>
      <c r="P96" s="9" t="inlineStr">
        <is>
          <t>Oui</t>
        </is>
      </c>
      <c r="Q96" s="9" t="inlineStr">
        <is>
          <t>https://rfef.es/sites/default/files/2026-06/Campeonato_de_Primera_Division_0.pdf</t>
        </is>
      </c>
      <c r="R96" s="10" t="n">
        <v>46311</v>
      </c>
      <c r="S96" s="9" t="inlineStr">
        <is>
          <t>Date de référence RFEF : 07/02 ; fenêtre ven.–lun. ; horaires non publiés</t>
        </is>
      </c>
      <c r="T96" s="9">
        <f>IF(H96="","",IF(MAX(H96,I96)&lt;TODAY(),"Terminé",IF(H96&lt;=TODAY(),"En cours","À venir")))</f>
        <v/>
      </c>
    </row>
    <row r="97">
      <c r="A97" s="9" t="inlineStr">
        <is>
          <t>LIGA-2627-024</t>
        </is>
      </c>
      <c r="B97" s="9" t="inlineStr">
        <is>
          <t>Football</t>
        </is>
      </c>
      <c r="C97" s="9" t="inlineStr">
        <is>
          <t>LaLiga</t>
        </is>
      </c>
      <c r="D97" s="9" t="inlineStr">
        <is>
          <t>2026-2027</t>
        </is>
      </c>
      <c r="E97" s="9" t="inlineStr">
        <is>
          <t>Saison régulière</t>
        </is>
      </c>
      <c r="F97" s="9" t="n">
        <v>24</v>
      </c>
      <c r="G97" s="9" t="inlineStr">
        <is>
          <t>LaLiga – Journée 24</t>
        </is>
      </c>
      <c r="H97" s="10" t="n">
        <v>46430</v>
      </c>
      <c r="I97" s="10" t="n">
        <v>46433</v>
      </c>
      <c r="J97" s="11" t="n"/>
      <c r="K97" s="9" t="inlineStr">
        <is>
          <t>Europe/Paris</t>
        </is>
      </c>
      <c r="L97" s="9" t="n"/>
      <c r="M97" s="9" t="inlineStr">
        <is>
          <t>Espagne</t>
        </is>
      </c>
      <c r="N97" s="9" t="inlineStr">
        <is>
          <t>Hommes</t>
        </is>
      </c>
      <c r="O97" s="9" t="inlineStr">
        <is>
          <t>Provisoire</t>
        </is>
      </c>
      <c r="P97" s="9" t="inlineStr">
        <is>
          <t>Oui</t>
        </is>
      </c>
      <c r="Q97" s="9" t="inlineStr">
        <is>
          <t>https://rfef.es/sites/default/files/2026-06/Campeonato_de_Primera_Division_0.pdf</t>
        </is>
      </c>
      <c r="R97" s="10" t="n">
        <v>46311</v>
      </c>
      <c r="S97" s="9" t="inlineStr">
        <is>
          <t>Date de référence RFEF : 14/02 ; fenêtre ven.–lun. ; horaires non publiés</t>
        </is>
      </c>
      <c r="T97" s="9">
        <f>IF(H97="","",IF(MAX(H97,I97)&lt;TODAY(),"Terminé",IF(H97&lt;=TODAY(),"En cours","À venir")))</f>
        <v/>
      </c>
    </row>
    <row r="98">
      <c r="A98" s="9" t="inlineStr">
        <is>
          <t>LIGA-2627-025</t>
        </is>
      </c>
      <c r="B98" s="9" t="inlineStr">
        <is>
          <t>Football</t>
        </is>
      </c>
      <c r="C98" s="9" t="inlineStr">
        <is>
          <t>LaLiga</t>
        </is>
      </c>
      <c r="D98" s="9" t="inlineStr">
        <is>
          <t>2026-2027</t>
        </is>
      </c>
      <c r="E98" s="9" t="inlineStr">
        <is>
          <t>Saison régulière</t>
        </is>
      </c>
      <c r="F98" s="9" t="n">
        <v>25</v>
      </c>
      <c r="G98" s="9" t="inlineStr">
        <is>
          <t>LaLiga – Journée 25</t>
        </is>
      </c>
      <c r="H98" s="10" t="n">
        <v>46437</v>
      </c>
      <c r="I98" s="10" t="n">
        <v>46440</v>
      </c>
      <c r="J98" s="11" t="n"/>
      <c r="K98" s="9" t="inlineStr">
        <is>
          <t>Europe/Paris</t>
        </is>
      </c>
      <c r="L98" s="9" t="n"/>
      <c r="M98" s="9" t="inlineStr">
        <is>
          <t>Espagne</t>
        </is>
      </c>
      <c r="N98" s="9" t="inlineStr">
        <is>
          <t>Hommes</t>
        </is>
      </c>
      <c r="O98" s="9" t="inlineStr">
        <is>
          <t>Provisoire</t>
        </is>
      </c>
      <c r="P98" s="9" t="inlineStr">
        <is>
          <t>Oui</t>
        </is>
      </c>
      <c r="Q98" s="9" t="inlineStr">
        <is>
          <t>https://rfef.es/sites/default/files/2026-06/Campeonato_de_Primera_Division_0.pdf</t>
        </is>
      </c>
      <c r="R98" s="10" t="n">
        <v>46311</v>
      </c>
      <c r="S98" s="9" t="inlineStr">
        <is>
          <t>Date de référence RFEF : 21/02 ; fenêtre ven.–lun. ; horaires non publiés</t>
        </is>
      </c>
      <c r="T98" s="9">
        <f>IF(H98="","",IF(MAX(H98,I98)&lt;TODAY(),"Terminé",IF(H98&lt;=TODAY(),"En cours","À venir")))</f>
        <v/>
      </c>
    </row>
    <row r="99">
      <c r="A99" s="9" t="inlineStr">
        <is>
          <t>LIGA-2627-026</t>
        </is>
      </c>
      <c r="B99" s="9" t="inlineStr">
        <is>
          <t>Football</t>
        </is>
      </c>
      <c r="C99" s="9" t="inlineStr">
        <is>
          <t>LaLiga</t>
        </is>
      </c>
      <c r="D99" s="9" t="inlineStr">
        <is>
          <t>2026-2027</t>
        </is>
      </c>
      <c r="E99" s="9" t="inlineStr">
        <is>
          <t>Saison régulière</t>
        </is>
      </c>
      <c r="F99" s="9" t="n">
        <v>26</v>
      </c>
      <c r="G99" s="9" t="inlineStr">
        <is>
          <t>LaLiga – Journée 26</t>
        </is>
      </c>
      <c r="H99" s="10" t="n">
        <v>46444</v>
      </c>
      <c r="I99" s="10" t="n">
        <v>46447</v>
      </c>
      <c r="J99" s="11" t="n"/>
      <c r="K99" s="9" t="inlineStr">
        <is>
          <t>Europe/Paris</t>
        </is>
      </c>
      <c r="L99" s="9" t="n"/>
      <c r="M99" s="9" t="inlineStr">
        <is>
          <t>Espagne</t>
        </is>
      </c>
      <c r="N99" s="9" t="inlineStr">
        <is>
          <t>Hommes</t>
        </is>
      </c>
      <c r="O99" s="9" t="inlineStr">
        <is>
          <t>Provisoire</t>
        </is>
      </c>
      <c r="P99" s="9" t="inlineStr">
        <is>
          <t>Oui</t>
        </is>
      </c>
      <c r="Q99" s="9" t="inlineStr">
        <is>
          <t>https://rfef.es/sites/default/files/2026-06/Campeonato_de_Primera_Division_0.pdf</t>
        </is>
      </c>
      <c r="R99" s="10" t="n">
        <v>46311</v>
      </c>
      <c r="S99" s="9" t="inlineStr">
        <is>
          <t>Date de référence RFEF : 28/02 ; fenêtre ven.–lun. ; horaires non publiés</t>
        </is>
      </c>
      <c r="T99" s="9">
        <f>IF(H99="","",IF(MAX(H99,I99)&lt;TODAY(),"Terminé",IF(H99&lt;=TODAY(),"En cours","À venir")))</f>
        <v/>
      </c>
    </row>
    <row r="100">
      <c r="A100" s="9" t="inlineStr">
        <is>
          <t>LIGA-2627-027</t>
        </is>
      </c>
      <c r="B100" s="9" t="inlineStr">
        <is>
          <t>Football</t>
        </is>
      </c>
      <c r="C100" s="9" t="inlineStr">
        <is>
          <t>LaLiga</t>
        </is>
      </c>
      <c r="D100" s="9" t="inlineStr">
        <is>
          <t>2026-2027</t>
        </is>
      </c>
      <c r="E100" s="9" t="inlineStr">
        <is>
          <t>Saison régulière</t>
        </is>
      </c>
      <c r="F100" s="9" t="n">
        <v>27</v>
      </c>
      <c r="G100" s="9" t="inlineStr">
        <is>
          <t>LaLiga – Journée 27</t>
        </is>
      </c>
      <c r="H100" s="10" t="n">
        <v>46451</v>
      </c>
      <c r="I100" s="10" t="n">
        <v>46454</v>
      </c>
      <c r="J100" s="11" t="n"/>
      <c r="K100" s="9" t="inlineStr">
        <is>
          <t>Europe/Paris</t>
        </is>
      </c>
      <c r="L100" s="9" t="n"/>
      <c r="M100" s="9" t="inlineStr">
        <is>
          <t>Espagne</t>
        </is>
      </c>
      <c r="N100" s="9" t="inlineStr">
        <is>
          <t>Hommes</t>
        </is>
      </c>
      <c r="O100" s="9" t="inlineStr">
        <is>
          <t>Provisoire</t>
        </is>
      </c>
      <c r="P100" s="9" t="inlineStr">
        <is>
          <t>Oui</t>
        </is>
      </c>
      <c r="Q100" s="9" t="inlineStr">
        <is>
          <t>https://rfef.es/sites/default/files/2026-06/Campeonato_de_Primera_Division_0.pdf</t>
        </is>
      </c>
      <c r="R100" s="10" t="n">
        <v>46311</v>
      </c>
      <c r="S100" s="9" t="inlineStr">
        <is>
          <t>Date de référence RFEF : 07/03 ; fenêtre ven.–lun. ; horaires non publiés</t>
        </is>
      </c>
      <c r="T100" s="9">
        <f>IF(H100="","",IF(MAX(H100,I100)&lt;TODAY(),"Terminé",IF(H100&lt;=TODAY(),"En cours","À venir")))</f>
        <v/>
      </c>
    </row>
    <row r="101">
      <c r="A101" s="9" t="inlineStr">
        <is>
          <t>LIGA-2627-028</t>
        </is>
      </c>
      <c r="B101" s="9" t="inlineStr">
        <is>
          <t>Football</t>
        </is>
      </c>
      <c r="C101" s="9" t="inlineStr">
        <is>
          <t>LaLiga</t>
        </is>
      </c>
      <c r="D101" s="9" t="inlineStr">
        <is>
          <t>2026-2027</t>
        </is>
      </c>
      <c r="E101" s="9" t="inlineStr">
        <is>
          <t>Saison régulière</t>
        </is>
      </c>
      <c r="F101" s="9" t="n">
        <v>28</v>
      </c>
      <c r="G101" s="9" t="inlineStr">
        <is>
          <t>LaLiga – Journée 28</t>
        </is>
      </c>
      <c r="H101" s="10" t="n">
        <v>46458</v>
      </c>
      <c r="I101" s="10" t="n">
        <v>46461</v>
      </c>
      <c r="J101" s="11" t="n"/>
      <c r="K101" s="9" t="inlineStr">
        <is>
          <t>Europe/Paris</t>
        </is>
      </c>
      <c r="L101" s="9" t="n"/>
      <c r="M101" s="9" t="inlineStr">
        <is>
          <t>Espagne</t>
        </is>
      </c>
      <c r="N101" s="9" t="inlineStr">
        <is>
          <t>Hommes</t>
        </is>
      </c>
      <c r="O101" s="9" t="inlineStr">
        <is>
          <t>Provisoire</t>
        </is>
      </c>
      <c r="P101" s="9" t="inlineStr">
        <is>
          <t>Oui</t>
        </is>
      </c>
      <c r="Q101" s="9" t="inlineStr">
        <is>
          <t>https://rfef.es/sites/default/files/2026-06/Campeonato_de_Primera_Division_0.pdf</t>
        </is>
      </c>
      <c r="R101" s="10" t="n">
        <v>46311</v>
      </c>
      <c r="S101" s="9" t="inlineStr">
        <is>
          <t>Date de référence RFEF : 14/03 ; fenêtre ven.–lun. ; horaires non publiés</t>
        </is>
      </c>
      <c r="T101" s="9">
        <f>IF(H101="","",IF(MAX(H101,I101)&lt;TODAY(),"Terminé",IF(H101&lt;=TODAY(),"En cours","À venir")))</f>
        <v/>
      </c>
    </row>
    <row r="102">
      <c r="A102" s="9" t="inlineStr">
        <is>
          <t>LIGA-2627-029</t>
        </is>
      </c>
      <c r="B102" s="9" t="inlineStr">
        <is>
          <t>Football</t>
        </is>
      </c>
      <c r="C102" s="9" t="inlineStr">
        <is>
          <t>LaLiga</t>
        </is>
      </c>
      <c r="D102" s="9" t="inlineStr">
        <is>
          <t>2026-2027</t>
        </is>
      </c>
      <c r="E102" s="9" t="inlineStr">
        <is>
          <t>Saison régulière</t>
        </is>
      </c>
      <c r="F102" s="9" t="n">
        <v>29</v>
      </c>
      <c r="G102" s="9" t="inlineStr">
        <is>
          <t>LaLiga – Journée 29</t>
        </is>
      </c>
      <c r="H102" s="10" t="n">
        <v>46465</v>
      </c>
      <c r="I102" s="10" t="n">
        <v>46468</v>
      </c>
      <c r="J102" s="11" t="n"/>
      <c r="K102" s="9" t="inlineStr">
        <is>
          <t>Europe/Paris</t>
        </is>
      </c>
      <c r="L102" s="9" t="n"/>
      <c r="M102" s="9" t="inlineStr">
        <is>
          <t>Espagne</t>
        </is>
      </c>
      <c r="N102" s="9" t="inlineStr">
        <is>
          <t>Hommes</t>
        </is>
      </c>
      <c r="O102" s="9" t="inlineStr">
        <is>
          <t>Provisoire</t>
        </is>
      </c>
      <c r="P102" s="9" t="inlineStr">
        <is>
          <t>Oui</t>
        </is>
      </c>
      <c r="Q102" s="9" t="inlineStr">
        <is>
          <t>https://rfef.es/sites/default/files/2026-06/Campeonato_de_Primera_Division_0.pdf</t>
        </is>
      </c>
      <c r="R102" s="10" t="n">
        <v>46311</v>
      </c>
      <c r="S102" s="9" t="inlineStr">
        <is>
          <t>Date de référence RFEF : 21/03 ; fenêtre ven.–lun. ; horaires non publiés</t>
        </is>
      </c>
      <c r="T102" s="9">
        <f>IF(H102="","",IF(MAX(H102,I102)&lt;TODAY(),"Terminé",IF(H102&lt;=TODAY(),"En cours","À venir")))</f>
        <v/>
      </c>
    </row>
    <row r="103">
      <c r="A103" s="9" t="inlineStr">
        <is>
          <t>LIGA-2627-030</t>
        </is>
      </c>
      <c r="B103" s="9" t="inlineStr">
        <is>
          <t>Football</t>
        </is>
      </c>
      <c r="C103" s="9" t="inlineStr">
        <is>
          <t>LaLiga</t>
        </is>
      </c>
      <c r="D103" s="9" t="inlineStr">
        <is>
          <t>2026-2027</t>
        </is>
      </c>
      <c r="E103" s="9" t="inlineStr">
        <is>
          <t>Saison régulière</t>
        </is>
      </c>
      <c r="F103" s="9" t="n">
        <v>30</v>
      </c>
      <c r="G103" s="9" t="inlineStr">
        <is>
          <t>LaLiga – Journée 30</t>
        </is>
      </c>
      <c r="H103" s="10" t="n">
        <v>46479</v>
      </c>
      <c r="I103" s="10" t="n">
        <v>46482</v>
      </c>
      <c r="J103" s="11" t="n"/>
      <c r="K103" s="9" t="inlineStr">
        <is>
          <t>Europe/Paris</t>
        </is>
      </c>
      <c r="L103" s="9" t="n"/>
      <c r="M103" s="9" t="inlineStr">
        <is>
          <t>Espagne</t>
        </is>
      </c>
      <c r="N103" s="9" t="inlineStr">
        <is>
          <t>Hommes</t>
        </is>
      </c>
      <c r="O103" s="9" t="inlineStr">
        <is>
          <t>Provisoire</t>
        </is>
      </c>
      <c r="P103" s="9" t="inlineStr">
        <is>
          <t>Oui</t>
        </is>
      </c>
      <c r="Q103" s="9" t="inlineStr">
        <is>
          <t>https://rfef.es/sites/default/files/2026-06/Campeonato_de_Primera_Division_0.pdf</t>
        </is>
      </c>
      <c r="R103" s="10" t="n">
        <v>46311</v>
      </c>
      <c r="S103" s="9" t="inlineStr">
        <is>
          <t>Date de référence RFEF : 04/04 ; fenêtre ven.–lun. ; horaires non publiés</t>
        </is>
      </c>
      <c r="T103" s="9">
        <f>IF(H103="","",IF(MAX(H103,I103)&lt;TODAY(),"Terminé",IF(H103&lt;=TODAY(),"En cours","À venir")))</f>
        <v/>
      </c>
    </row>
    <row r="104">
      <c r="A104" s="9" t="inlineStr">
        <is>
          <t>LIGA-2627-031</t>
        </is>
      </c>
      <c r="B104" s="9" t="inlineStr">
        <is>
          <t>Football</t>
        </is>
      </c>
      <c r="C104" s="9" t="inlineStr">
        <is>
          <t>LaLiga</t>
        </is>
      </c>
      <c r="D104" s="9" t="inlineStr">
        <is>
          <t>2026-2027</t>
        </is>
      </c>
      <c r="E104" s="9" t="inlineStr">
        <is>
          <t>Saison régulière</t>
        </is>
      </c>
      <c r="F104" s="9" t="n">
        <v>31</v>
      </c>
      <c r="G104" s="9" t="inlineStr">
        <is>
          <t>LaLiga – Journée 31</t>
        </is>
      </c>
      <c r="H104" s="10" t="n">
        <v>46486</v>
      </c>
      <c r="I104" s="10" t="n">
        <v>46489</v>
      </c>
      <c r="J104" s="11" t="n"/>
      <c r="K104" s="9" t="inlineStr">
        <is>
          <t>Europe/Paris</t>
        </is>
      </c>
      <c r="L104" s="9" t="n"/>
      <c r="M104" s="9" t="inlineStr">
        <is>
          <t>Espagne</t>
        </is>
      </c>
      <c r="N104" s="9" t="inlineStr">
        <is>
          <t>Hommes</t>
        </is>
      </c>
      <c r="O104" s="9" t="inlineStr">
        <is>
          <t>Provisoire</t>
        </is>
      </c>
      <c r="P104" s="9" t="inlineStr">
        <is>
          <t>Oui</t>
        </is>
      </c>
      <c r="Q104" s="9" t="inlineStr">
        <is>
          <t>https://rfef.es/sites/default/files/2026-06/Campeonato_de_Primera_Division_0.pdf</t>
        </is>
      </c>
      <c r="R104" s="10" t="n">
        <v>46311</v>
      </c>
      <c r="S104" s="9" t="inlineStr">
        <is>
          <t>Date de référence RFEF : 11/04 ; fenêtre ven.–lun. ; horaires non publiés ; journée rétro</t>
        </is>
      </c>
      <c r="T104" s="9">
        <f>IF(H104="","",IF(MAX(H104,I104)&lt;TODAY(),"Terminé",IF(H104&lt;=TODAY(),"En cours","À venir")))</f>
        <v/>
      </c>
    </row>
    <row r="105">
      <c r="A105" s="9" t="inlineStr">
        <is>
          <t>LIGA-2627-032</t>
        </is>
      </c>
      <c r="B105" s="9" t="inlineStr">
        <is>
          <t>Football</t>
        </is>
      </c>
      <c r="C105" s="9" t="inlineStr">
        <is>
          <t>LaLiga</t>
        </is>
      </c>
      <c r="D105" s="9" t="inlineStr">
        <is>
          <t>2026-2027</t>
        </is>
      </c>
      <c r="E105" s="9" t="inlineStr">
        <is>
          <t>Saison régulière</t>
        </is>
      </c>
      <c r="F105" s="9" t="n">
        <v>32</v>
      </c>
      <c r="G105" s="9" t="inlineStr">
        <is>
          <t>LaLiga – Journée 32</t>
        </is>
      </c>
      <c r="H105" s="10" t="n">
        <v>46493</v>
      </c>
      <c r="I105" s="10" t="n">
        <v>46496</v>
      </c>
      <c r="J105" s="11" t="n"/>
      <c r="K105" s="9" t="inlineStr">
        <is>
          <t>Europe/Paris</t>
        </is>
      </c>
      <c r="L105" s="9" t="n"/>
      <c r="M105" s="9" t="inlineStr">
        <is>
          <t>Espagne</t>
        </is>
      </c>
      <c r="N105" s="9" t="inlineStr">
        <is>
          <t>Hommes</t>
        </is>
      </c>
      <c r="O105" s="9" t="inlineStr">
        <is>
          <t>Provisoire</t>
        </is>
      </c>
      <c r="P105" s="9" t="inlineStr">
        <is>
          <t>Oui</t>
        </is>
      </c>
      <c r="Q105" s="9" t="inlineStr">
        <is>
          <t>https://rfef.es/sites/default/files/2026-06/Campeonato_de_Primera_Division_0.pdf</t>
        </is>
      </c>
      <c r="R105" s="10" t="n">
        <v>46311</v>
      </c>
      <c r="S105" s="9" t="inlineStr">
        <is>
          <t>Date de référence RFEF : 18/04 ; fenêtre ven.–lun. ; horaires non publiés</t>
        </is>
      </c>
      <c r="T105" s="9">
        <f>IF(H105="","",IF(MAX(H105,I105)&lt;TODAY(),"Terminé",IF(H105&lt;=TODAY(),"En cours","À venir")))</f>
        <v/>
      </c>
    </row>
    <row r="106">
      <c r="A106" s="9" t="inlineStr">
        <is>
          <t>LIGA-2627-033</t>
        </is>
      </c>
      <c r="B106" s="9" t="inlineStr">
        <is>
          <t>Football</t>
        </is>
      </c>
      <c r="C106" s="9" t="inlineStr">
        <is>
          <t>LaLiga</t>
        </is>
      </c>
      <c r="D106" s="9" t="inlineStr">
        <is>
          <t>2026-2027</t>
        </is>
      </c>
      <c r="E106" s="9" t="inlineStr">
        <is>
          <t>Saison régulière</t>
        </is>
      </c>
      <c r="F106" s="9" t="n">
        <v>33</v>
      </c>
      <c r="G106" s="9" t="inlineStr">
        <is>
          <t>LaLiga – Journée 33</t>
        </is>
      </c>
      <c r="H106" s="10" t="n">
        <v>46497</v>
      </c>
      <c r="I106" s="10" t="n">
        <v>46499</v>
      </c>
      <c r="J106" s="11" t="n"/>
      <c r="K106" s="9" t="inlineStr">
        <is>
          <t>Europe/Paris</t>
        </is>
      </c>
      <c r="L106" s="9" t="n"/>
      <c r="M106" s="9" t="inlineStr">
        <is>
          <t>Espagne</t>
        </is>
      </c>
      <c r="N106" s="9" t="inlineStr">
        <is>
          <t>Hommes</t>
        </is>
      </c>
      <c r="O106" s="9" t="inlineStr">
        <is>
          <t>Provisoire</t>
        </is>
      </c>
      <c r="P106" s="9" t="inlineStr">
        <is>
          <t>Oui</t>
        </is>
      </c>
      <c r="Q106" s="9" t="inlineStr">
        <is>
          <t>https://rfef.es/sites/default/files/2026-06/Campeonato_de_Primera_Division_0.pdf</t>
        </is>
      </c>
      <c r="R106" s="10" t="n">
        <v>46311</v>
      </c>
      <c r="S106" s="9" t="inlineStr">
        <is>
          <t>Journée en semaine ; date de référence RFEF mercredi 21/04 ; horaires non publiés</t>
        </is>
      </c>
      <c r="T106" s="9">
        <f>IF(H106="","",IF(MAX(H106,I106)&lt;TODAY(),"Terminé",IF(H106&lt;=TODAY(),"En cours","À venir")))</f>
        <v/>
      </c>
    </row>
    <row r="107">
      <c r="A107" s="9" t="inlineStr">
        <is>
          <t>LIGA-2627-034</t>
        </is>
      </c>
      <c r="B107" s="9" t="inlineStr">
        <is>
          <t>Football</t>
        </is>
      </c>
      <c r="C107" s="9" t="inlineStr">
        <is>
          <t>LaLiga</t>
        </is>
      </c>
      <c r="D107" s="9" t="inlineStr">
        <is>
          <t>2026-2027</t>
        </is>
      </c>
      <c r="E107" s="9" t="inlineStr">
        <is>
          <t>Saison régulière</t>
        </is>
      </c>
      <c r="F107" s="9" t="n">
        <v>34</v>
      </c>
      <c r="G107" s="9" t="inlineStr">
        <is>
          <t>LaLiga – Journée 34</t>
        </is>
      </c>
      <c r="H107" s="10" t="n">
        <v>46507</v>
      </c>
      <c r="I107" s="10" t="n">
        <v>46510</v>
      </c>
      <c r="J107" s="11" t="n"/>
      <c r="K107" s="9" t="inlineStr">
        <is>
          <t>Europe/Paris</t>
        </is>
      </c>
      <c r="L107" s="9" t="n"/>
      <c r="M107" s="9" t="inlineStr">
        <is>
          <t>Espagne</t>
        </is>
      </c>
      <c r="N107" s="9" t="inlineStr">
        <is>
          <t>Hommes</t>
        </is>
      </c>
      <c r="O107" s="9" t="inlineStr">
        <is>
          <t>Provisoire</t>
        </is>
      </c>
      <c r="P107" s="9" t="inlineStr">
        <is>
          <t>Oui</t>
        </is>
      </c>
      <c r="Q107" s="9" t="inlineStr">
        <is>
          <t>https://rfef.es/sites/default/files/2026-06/Campeonato_de_Primera_Division_0.pdf</t>
        </is>
      </c>
      <c r="R107" s="10" t="n">
        <v>46311</v>
      </c>
      <c r="S107" s="9" t="inlineStr">
        <is>
          <t>Date de référence RFEF : 02/05 ; fenêtre ven.–lun. ; horaires non publiés</t>
        </is>
      </c>
      <c r="T107" s="9">
        <f>IF(H107="","",IF(MAX(H107,I107)&lt;TODAY(),"Terminé",IF(H107&lt;=TODAY(),"En cours","À venir")))</f>
        <v/>
      </c>
    </row>
    <row r="108">
      <c r="A108" s="9" t="inlineStr">
        <is>
          <t>LIGA-2627-035</t>
        </is>
      </c>
      <c r="B108" s="9" t="inlineStr">
        <is>
          <t>Football</t>
        </is>
      </c>
      <c r="C108" s="9" t="inlineStr">
        <is>
          <t>LaLiga</t>
        </is>
      </c>
      <c r="D108" s="9" t="inlineStr">
        <is>
          <t>2026-2027</t>
        </is>
      </c>
      <c r="E108" s="9" t="inlineStr">
        <is>
          <t>Saison régulière</t>
        </is>
      </c>
      <c r="F108" s="9" t="n">
        <v>35</v>
      </c>
      <c r="G108" s="9" t="inlineStr">
        <is>
          <t>LaLiga – Journée 35</t>
        </is>
      </c>
      <c r="H108" s="10" t="n">
        <v>46514</v>
      </c>
      <c r="I108" s="10" t="n">
        <v>46517</v>
      </c>
      <c r="J108" s="11" t="n"/>
      <c r="K108" s="9" t="inlineStr">
        <is>
          <t>Europe/Paris</t>
        </is>
      </c>
      <c r="L108" s="9" t="n"/>
      <c r="M108" s="9" t="inlineStr">
        <is>
          <t>Espagne</t>
        </is>
      </c>
      <c r="N108" s="9" t="inlineStr">
        <is>
          <t>Hommes</t>
        </is>
      </c>
      <c r="O108" s="9" t="inlineStr">
        <is>
          <t>Provisoire</t>
        </is>
      </c>
      <c r="P108" s="9" t="inlineStr">
        <is>
          <t>Oui</t>
        </is>
      </c>
      <c r="Q108" s="9" t="inlineStr">
        <is>
          <t>https://rfef.es/sites/default/files/2026-06/Campeonato_de_Primera_Division_0.pdf</t>
        </is>
      </c>
      <c r="R108" s="10" t="n">
        <v>46311</v>
      </c>
      <c r="S108" s="9" t="inlineStr">
        <is>
          <t>Date de référence RFEF : 09/05 ; fenêtre ven.–lun. ; horaires non publiés ; Clasico Real Madrid–Barça</t>
        </is>
      </c>
      <c r="T108" s="9">
        <f>IF(H108="","",IF(MAX(H108,I108)&lt;TODAY(),"Terminé",IF(H108&lt;=TODAY(),"En cours","À venir")))</f>
        <v/>
      </c>
    </row>
    <row r="109">
      <c r="A109" s="9" t="inlineStr">
        <is>
          <t>LIGA-2627-036</t>
        </is>
      </c>
      <c r="B109" s="9" t="inlineStr">
        <is>
          <t>Football</t>
        </is>
      </c>
      <c r="C109" s="9" t="inlineStr">
        <is>
          <t>LaLiga</t>
        </is>
      </c>
      <c r="D109" s="9" t="inlineStr">
        <is>
          <t>2026-2027</t>
        </is>
      </c>
      <c r="E109" s="9" t="inlineStr">
        <is>
          <t>Saison régulière</t>
        </is>
      </c>
      <c r="F109" s="9" t="n">
        <v>36</v>
      </c>
      <c r="G109" s="9" t="inlineStr">
        <is>
          <t>LaLiga – Journée 36</t>
        </is>
      </c>
      <c r="H109" s="10" t="n">
        <v>46521</v>
      </c>
      <c r="I109" s="10" t="n">
        <v>46524</v>
      </c>
      <c r="J109" s="11" t="n"/>
      <c r="K109" s="9" t="inlineStr">
        <is>
          <t>Europe/Paris</t>
        </is>
      </c>
      <c r="L109" s="9" t="n"/>
      <c r="M109" s="9" t="inlineStr">
        <is>
          <t>Espagne</t>
        </is>
      </c>
      <c r="N109" s="9" t="inlineStr">
        <is>
          <t>Hommes</t>
        </is>
      </c>
      <c r="O109" s="9" t="inlineStr">
        <is>
          <t>Provisoire</t>
        </is>
      </c>
      <c r="P109" s="9" t="inlineStr">
        <is>
          <t>Oui</t>
        </is>
      </c>
      <c r="Q109" s="9" t="inlineStr">
        <is>
          <t>https://rfef.es/sites/default/files/2026-06/Campeonato_de_Primera_Division_0.pdf</t>
        </is>
      </c>
      <c r="R109" s="10" t="n">
        <v>46311</v>
      </c>
      <c r="S109" s="9" t="inlineStr">
        <is>
          <t>Date de référence RFEF : 16/05 ; fenêtre ven.–lun. ; horaires non publiés</t>
        </is>
      </c>
      <c r="T109" s="9">
        <f>IF(H109="","",IF(MAX(H109,I109)&lt;TODAY(),"Terminé",IF(H109&lt;=TODAY(),"En cours","À venir")))</f>
        <v/>
      </c>
    </row>
    <row r="110">
      <c r="A110" s="9" t="inlineStr">
        <is>
          <t>LIGA-2627-037</t>
        </is>
      </c>
      <c r="B110" s="9" t="inlineStr">
        <is>
          <t>Football</t>
        </is>
      </c>
      <c r="C110" s="9" t="inlineStr">
        <is>
          <t>LaLiga</t>
        </is>
      </c>
      <c r="D110" s="9" t="inlineStr">
        <is>
          <t>2026-2027</t>
        </is>
      </c>
      <c r="E110" s="9" t="inlineStr">
        <is>
          <t>Saison régulière</t>
        </is>
      </c>
      <c r="F110" s="9" t="n">
        <v>37</v>
      </c>
      <c r="G110" s="9" t="inlineStr">
        <is>
          <t>LaLiga – Journée 37</t>
        </is>
      </c>
      <c r="H110" s="10" t="n">
        <v>46528</v>
      </c>
      <c r="I110" s="10" t="n">
        <v>46531</v>
      </c>
      <c r="J110" s="11" t="n"/>
      <c r="K110" s="9" t="inlineStr">
        <is>
          <t>Europe/Paris</t>
        </is>
      </c>
      <c r="L110" s="9" t="n"/>
      <c r="M110" s="9" t="inlineStr">
        <is>
          <t>Espagne</t>
        </is>
      </c>
      <c r="N110" s="9" t="inlineStr">
        <is>
          <t>Hommes</t>
        </is>
      </c>
      <c r="O110" s="9" t="inlineStr">
        <is>
          <t>Provisoire</t>
        </is>
      </c>
      <c r="P110" s="9" t="inlineStr">
        <is>
          <t>Oui</t>
        </is>
      </c>
      <c r="Q110" s="9" t="inlineStr">
        <is>
          <t>https://rfef.es/sites/default/files/2026-06/Campeonato_de_Primera_Division_0.pdf</t>
        </is>
      </c>
      <c r="R110" s="10" t="n">
        <v>46311</v>
      </c>
      <c r="S110" s="9" t="inlineStr">
        <is>
          <t>Date de référence RFEF : 23/05 ; fenêtre ven.–lun. ; horaires non publiés</t>
        </is>
      </c>
      <c r="T110" s="9">
        <f>IF(H110="","",IF(MAX(H110,I110)&lt;TODAY(),"Terminé",IF(H110&lt;=TODAY(),"En cours","À venir")))</f>
        <v/>
      </c>
    </row>
    <row r="111">
      <c r="A111" s="9" t="inlineStr">
        <is>
          <t>LIGA-2627-038</t>
        </is>
      </c>
      <c r="B111" s="9" t="inlineStr">
        <is>
          <t>Football</t>
        </is>
      </c>
      <c r="C111" s="9" t="inlineStr">
        <is>
          <t>LaLiga</t>
        </is>
      </c>
      <c r="D111" s="9" t="inlineStr">
        <is>
          <t>2026-2027</t>
        </is>
      </c>
      <c r="E111" s="9" t="inlineStr">
        <is>
          <t>Saison régulière</t>
        </is>
      </c>
      <c r="F111" s="9" t="n">
        <v>38</v>
      </c>
      <c r="G111" s="9" t="inlineStr">
        <is>
          <t>LaLiga – Journée 38</t>
        </is>
      </c>
      <c r="H111" s="10" t="n">
        <v>46535</v>
      </c>
      <c r="I111" s="10" t="n">
        <v>46537</v>
      </c>
      <c r="J111" s="11" t="n"/>
      <c r="K111" s="9" t="inlineStr">
        <is>
          <t>Europe/Paris</t>
        </is>
      </c>
      <c r="L111" s="9" t="n"/>
      <c r="M111" s="9" t="inlineStr">
        <is>
          <t>Espagne</t>
        </is>
      </c>
      <c r="N111" s="9" t="inlineStr">
        <is>
          <t>Hommes</t>
        </is>
      </c>
      <c r="O111" s="9" t="inlineStr">
        <is>
          <t>Provisoire</t>
        </is>
      </c>
      <c r="P111" s="9" t="inlineStr">
        <is>
          <t>Oui</t>
        </is>
      </c>
      <c r="Q111" s="9" t="inlineStr">
        <is>
          <t>https://rfef.es/sites/default/files/2026-06/Campeonato_de_Primera_Division_0.pdf</t>
        </is>
      </c>
      <c r="R111" s="10" t="n">
        <v>46311</v>
      </c>
      <c r="S111" s="9" t="inlineStr">
        <is>
          <t>Dernière journée ; fin de championnat le 30/05 (RFEF) ; horaires non publiés</t>
        </is>
      </c>
      <c r="T111" s="9">
        <f>IF(H111="","",IF(MAX(H111,I111)&lt;TODAY(),"Terminé",IF(H111&lt;=TODAY(),"En cours","À venir")))</f>
        <v/>
      </c>
    </row>
    <row r="112">
      <c r="A112" s="9" t="inlineStr">
        <is>
          <t>EPL-2627-001</t>
        </is>
      </c>
      <c r="B112" s="9" t="inlineStr">
        <is>
          <t>Football</t>
        </is>
      </c>
      <c r="C112" s="9" t="inlineStr">
        <is>
          <t>Premier League</t>
        </is>
      </c>
      <c r="D112" s="9" t="inlineStr">
        <is>
          <t>2026-2027</t>
        </is>
      </c>
      <c r="E112" s="9" t="inlineStr">
        <is>
          <t>Saison régulière</t>
        </is>
      </c>
      <c r="F112" s="9" t="n">
        <v>1</v>
      </c>
      <c r="G112" s="9" t="inlineStr">
        <is>
          <t>Premier League – Journée 1</t>
        </is>
      </c>
      <c r="H112" s="10" t="n">
        <v>46255</v>
      </c>
      <c r="I112" s="10" t="n">
        <v>46258</v>
      </c>
      <c r="J112" s="11" t="n"/>
      <c r="K112" s="9" t="inlineStr">
        <is>
          <t>Europe/Paris</t>
        </is>
      </c>
      <c r="L112" s="9" t="n"/>
      <c r="M112" s="9" t="inlineStr">
        <is>
          <t>Angleterre</t>
        </is>
      </c>
      <c r="N112" s="9" t="inlineStr">
        <is>
          <t>Hommes</t>
        </is>
      </c>
      <c r="O112" s="9" t="inlineStr">
        <is>
          <t>Officiel</t>
        </is>
      </c>
      <c r="P112" s="9" t="inlineStr">
        <is>
          <t>Oui</t>
        </is>
      </c>
      <c r="Q112" s="9" t="inlineStr">
        <is>
          <t>https://www.premierleague.com/en/news/4675508/premier-league-fixture-schedulereleased-for-season-202627</t>
        </is>
      </c>
      <c r="R112" s="10" t="n">
        <v>46311</v>
      </c>
      <c r="S112" s="9" t="inlineStr">
        <is>
          <t>Arsenal–Coventry ven. 21/08, clôture Fulham–Chelsea lun. 24/08</t>
        </is>
      </c>
      <c r="T112" s="9">
        <f>IF(H112="","",IF(MAX(H112,I112)&lt;TODAY(),"Terminé",IF(H112&lt;=TODAY(),"En cours","À venir")))</f>
        <v/>
      </c>
    </row>
    <row r="113">
      <c r="A113" s="9" t="inlineStr">
        <is>
          <t>EPL-2627-002</t>
        </is>
      </c>
      <c r="B113" s="9" t="inlineStr">
        <is>
          <t>Football</t>
        </is>
      </c>
      <c r="C113" s="9" t="inlineStr">
        <is>
          <t>Premier League</t>
        </is>
      </c>
      <c r="D113" s="9" t="inlineStr">
        <is>
          <t>2026-2027</t>
        </is>
      </c>
      <c r="E113" s="9" t="inlineStr">
        <is>
          <t>Saison régulière</t>
        </is>
      </c>
      <c r="F113" s="9" t="n">
        <v>2</v>
      </c>
      <c r="G113" s="9" t="inlineStr">
        <is>
          <t>Premier League – Journée 2</t>
        </is>
      </c>
      <c r="H113" s="10" t="n">
        <v>46262</v>
      </c>
      <c r="I113" s="10" t="n">
        <v>46265</v>
      </c>
      <c r="J113" s="11" t="n"/>
      <c r="K113" s="9" t="inlineStr">
        <is>
          <t>Europe/Paris</t>
        </is>
      </c>
      <c r="L113" s="9" t="n"/>
      <c r="M113" s="9" t="inlineStr">
        <is>
          <t>Angleterre</t>
        </is>
      </c>
      <c r="N113" s="9" t="inlineStr">
        <is>
          <t>Hommes</t>
        </is>
      </c>
      <c r="O113" s="9" t="inlineStr">
        <is>
          <t>Officiel</t>
        </is>
      </c>
      <c r="P113" s="9" t="inlineStr">
        <is>
          <t>Oui</t>
        </is>
      </c>
      <c r="Q113" s="9" t="inlineStr">
        <is>
          <t>https://www.premierleague.com/en/news/4675097/all-380-fixtures-for-202627-premier-league-season</t>
        </is>
      </c>
      <c r="R113" s="10" t="n">
        <v>46311</v>
      </c>
      <c r="S113" s="9" t="n"/>
      <c r="T113" s="9">
        <f>IF(H113="","",IF(MAX(H113,I113)&lt;TODAY(),"Terminé",IF(H113&lt;=TODAY(),"En cours","À venir")))</f>
        <v/>
      </c>
    </row>
    <row r="114">
      <c r="A114" s="9" t="inlineStr">
        <is>
          <t>EPL-2627-003</t>
        </is>
      </c>
      <c r="B114" s="9" t="inlineStr">
        <is>
          <t>Football</t>
        </is>
      </c>
      <c r="C114" s="9" t="inlineStr">
        <is>
          <t>Premier League</t>
        </is>
      </c>
      <c r="D114" s="9" t="inlineStr">
        <is>
          <t>2026-2027</t>
        </is>
      </c>
      <c r="E114" s="9" t="inlineStr">
        <is>
          <t>Saison régulière</t>
        </is>
      </c>
      <c r="F114" s="9" t="n">
        <v>3</v>
      </c>
      <c r="G114" s="9" t="inlineStr">
        <is>
          <t>Premier League – Journée 3</t>
        </is>
      </c>
      <c r="H114" s="10" t="n">
        <v>46269</v>
      </c>
      <c r="I114" s="10" t="n">
        <v>46271</v>
      </c>
      <c r="J114" s="11" t="n"/>
      <c r="K114" s="9" t="inlineStr">
        <is>
          <t>Europe/Paris</t>
        </is>
      </c>
      <c r="L114" s="9" t="n"/>
      <c r="M114" s="9" t="inlineStr">
        <is>
          <t>Angleterre</t>
        </is>
      </c>
      <c r="N114" s="9" t="inlineStr">
        <is>
          <t>Hommes</t>
        </is>
      </c>
      <c r="O114" s="9" t="inlineStr">
        <is>
          <t>Officiel</t>
        </is>
      </c>
      <c r="P114" s="9" t="inlineStr">
        <is>
          <t>Oui</t>
        </is>
      </c>
      <c r="Q114" s="9" t="inlineStr">
        <is>
          <t>https://www.premierleague.com/en/news/4675097/all-380-fixtures-for-202627-premier-league-season</t>
        </is>
      </c>
      <c r="R114" s="10" t="n">
        <v>46311</v>
      </c>
      <c r="S114" s="9" t="n"/>
      <c r="T114" s="9">
        <f>IF(H114="","",IF(MAX(H114,I114)&lt;TODAY(),"Terminé",IF(H114&lt;=TODAY(),"En cours","À venir")))</f>
        <v/>
      </c>
    </row>
    <row r="115">
      <c r="A115" s="9" t="inlineStr">
        <is>
          <t>EPL-2627-004</t>
        </is>
      </c>
      <c r="B115" s="9" t="inlineStr">
        <is>
          <t>Football</t>
        </is>
      </c>
      <c r="C115" s="9" t="inlineStr">
        <is>
          <t>Premier League</t>
        </is>
      </c>
      <c r="D115" s="9" t="inlineStr">
        <is>
          <t>2026-2027</t>
        </is>
      </c>
      <c r="E115" s="9" t="inlineStr">
        <is>
          <t>Saison régulière</t>
        </is>
      </c>
      <c r="F115" s="9" t="n">
        <v>4</v>
      </c>
      <c r="G115" s="9" t="inlineStr">
        <is>
          <t>Premier League – Journée 4</t>
        </is>
      </c>
      <c r="H115" s="10" t="n">
        <v>46277</v>
      </c>
      <c r="I115" s="10" t="n">
        <v>46279</v>
      </c>
      <c r="J115" s="11" t="n"/>
      <c r="K115" s="9" t="inlineStr">
        <is>
          <t>Europe/Paris</t>
        </is>
      </c>
      <c r="L115" s="9" t="n"/>
      <c r="M115" s="9" t="inlineStr">
        <is>
          <t>Angleterre</t>
        </is>
      </c>
      <c r="N115" s="9" t="inlineStr">
        <is>
          <t>Hommes</t>
        </is>
      </c>
      <c r="O115" s="9" t="inlineStr">
        <is>
          <t>Officiel</t>
        </is>
      </c>
      <c r="P115" s="9" t="inlineStr">
        <is>
          <t>Oui</t>
        </is>
      </c>
      <c r="Q115" s="9" t="inlineStr">
        <is>
          <t>https://www.premierleague.com/en/news/4675097/all-380-fixtures-for-202627-premier-league-season</t>
        </is>
      </c>
      <c r="R115" s="10" t="n">
        <v>46311</v>
      </c>
      <c r="S115" s="9" t="inlineStr">
        <is>
          <t>Clôture le lundi (Leeds–Newcastle)</t>
        </is>
      </c>
      <c r="T115" s="9">
        <f>IF(H115="","",IF(MAX(H115,I115)&lt;TODAY(),"Terminé",IF(H115&lt;=TODAY(),"En cours","À venir")))</f>
        <v/>
      </c>
    </row>
    <row r="116">
      <c r="A116" s="9" t="inlineStr">
        <is>
          <t>EPL-2627-005</t>
        </is>
      </c>
      <c r="B116" s="9" t="inlineStr">
        <is>
          <t>Football</t>
        </is>
      </c>
      <c r="C116" s="9" t="inlineStr">
        <is>
          <t>Premier League</t>
        </is>
      </c>
      <c r="D116" s="9" t="inlineStr">
        <is>
          <t>2026-2027</t>
        </is>
      </c>
      <c r="E116" s="9" t="inlineStr">
        <is>
          <t>Saison régulière</t>
        </is>
      </c>
      <c r="F116" s="9" t="n">
        <v>5</v>
      </c>
      <c r="G116" s="9" t="inlineStr">
        <is>
          <t>Premier League – Journée 5</t>
        </is>
      </c>
      <c r="H116" s="10" t="n">
        <v>46283</v>
      </c>
      <c r="I116" s="10" t="n">
        <v>46285</v>
      </c>
      <c r="J116" s="11" t="n"/>
      <c r="K116" s="9" t="inlineStr">
        <is>
          <t>Europe/Paris</t>
        </is>
      </c>
      <c r="L116" s="9" t="n"/>
      <c r="M116" s="9" t="inlineStr">
        <is>
          <t>Angleterre</t>
        </is>
      </c>
      <c r="N116" s="9" t="inlineStr">
        <is>
          <t>Hommes</t>
        </is>
      </c>
      <c r="O116" s="9" t="inlineStr">
        <is>
          <t>Officiel</t>
        </is>
      </c>
      <c r="P116" s="9" t="inlineStr">
        <is>
          <t>Oui</t>
        </is>
      </c>
      <c r="Q116" s="9" t="inlineStr">
        <is>
          <t>https://www.premierleague.com/en/news/4675097/all-380-fixtures-for-202627-premier-league-season</t>
        </is>
      </c>
      <c r="R116" s="10" t="n">
        <v>46311</v>
      </c>
      <c r="S116" s="9" t="inlineStr">
        <is>
          <t>Trêve internationale ensuite (21 sept.–6 oct.)</t>
        </is>
      </c>
      <c r="T116" s="9">
        <f>IF(H116="","",IF(MAX(H116,I116)&lt;TODAY(),"Terminé",IF(H116&lt;=TODAY(),"En cours","À venir")))</f>
        <v/>
      </c>
    </row>
    <row r="117">
      <c r="A117" s="9" t="inlineStr">
        <is>
          <t>EPL-2627-006</t>
        </is>
      </c>
      <c r="B117" s="9" t="inlineStr">
        <is>
          <t>Football</t>
        </is>
      </c>
      <c r="C117" s="9" t="inlineStr">
        <is>
          <t>Premier League</t>
        </is>
      </c>
      <c r="D117" s="9" t="inlineStr">
        <is>
          <t>2026-2027</t>
        </is>
      </c>
      <c r="E117" s="9" t="inlineStr">
        <is>
          <t>Saison régulière</t>
        </is>
      </c>
      <c r="F117" s="9" t="n">
        <v>6</v>
      </c>
      <c r="G117" s="9" t="inlineStr">
        <is>
          <t>Premier League – Journée 6</t>
        </is>
      </c>
      <c r="H117" s="10" t="n">
        <v>46305</v>
      </c>
      <c r="I117" s="10" t="n">
        <v>46307</v>
      </c>
      <c r="J117" s="11" t="n"/>
      <c r="K117" s="9" t="inlineStr">
        <is>
          <t>Europe/Paris</t>
        </is>
      </c>
      <c r="L117" s="9" t="n"/>
      <c r="M117" s="9" t="inlineStr">
        <is>
          <t>Angleterre</t>
        </is>
      </c>
      <c r="N117" s="9" t="inlineStr">
        <is>
          <t>Hommes</t>
        </is>
      </c>
      <c r="O117" s="9" t="inlineStr">
        <is>
          <t>Officiel</t>
        </is>
      </c>
      <c r="P117" s="9" t="inlineStr">
        <is>
          <t>Oui</t>
        </is>
      </c>
      <c r="Q117" s="9" t="inlineStr">
        <is>
          <t>https://www.premierleague.com/en/news/4675097/all-380-fixtures-for-202627-premier-league-season</t>
        </is>
      </c>
      <c r="R117" s="10" t="n">
        <v>46311</v>
      </c>
      <c r="S117" s="9" t="n"/>
      <c r="T117" s="9">
        <f>IF(H117="","",IF(MAX(H117,I117)&lt;TODAY(),"Terminé",IF(H117&lt;=TODAY(),"En cours","À venir")))</f>
        <v/>
      </c>
    </row>
    <row r="118">
      <c r="A118" s="9" t="inlineStr">
        <is>
          <t>EPL-2627-007</t>
        </is>
      </c>
      <c r="B118" s="9" t="inlineStr">
        <is>
          <t>Football</t>
        </is>
      </c>
      <c r="C118" s="9" t="inlineStr">
        <is>
          <t>Premier League</t>
        </is>
      </c>
      <c r="D118" s="9" t="inlineStr">
        <is>
          <t>2026-2027</t>
        </is>
      </c>
      <c r="E118" s="9" t="inlineStr">
        <is>
          <t>Saison régulière</t>
        </is>
      </c>
      <c r="F118" s="9" t="n">
        <v>7</v>
      </c>
      <c r="G118" s="9" t="inlineStr">
        <is>
          <t>Premier League – Journée 7</t>
        </is>
      </c>
      <c r="H118" s="10" t="n">
        <v>46312</v>
      </c>
      <c r="I118" s="10" t="n">
        <v>46314</v>
      </c>
      <c r="J118" s="11" t="n"/>
      <c r="K118" s="9" t="inlineStr">
        <is>
          <t>Europe/Paris</t>
        </is>
      </c>
      <c r="L118" s="9" t="n"/>
      <c r="M118" s="9" t="inlineStr">
        <is>
          <t>Angleterre</t>
        </is>
      </c>
      <c r="N118" s="9" t="inlineStr">
        <is>
          <t>Hommes</t>
        </is>
      </c>
      <c r="O118" s="9" t="inlineStr">
        <is>
          <t>Officiel</t>
        </is>
      </c>
      <c r="P118" s="9" t="inlineStr">
        <is>
          <t>Oui</t>
        </is>
      </c>
      <c r="Q118" s="9" t="inlineStr">
        <is>
          <t>https://www.premierleague.com/en/news/4675097/all-380-fixtures-for-202627-premier-league-season</t>
        </is>
      </c>
      <c r="R118" s="10" t="n">
        <v>46311</v>
      </c>
      <c r="S118" s="9" t="n"/>
      <c r="T118" s="9">
        <f>IF(H118="","",IF(MAX(H118,I118)&lt;TODAY(),"Terminé",IF(H118&lt;=TODAY(),"En cours","À venir")))</f>
        <v/>
      </c>
    </row>
    <row r="119">
      <c r="A119" s="9" t="inlineStr">
        <is>
          <t>EPL-2627-008</t>
        </is>
      </c>
      <c r="B119" s="9" t="inlineStr">
        <is>
          <t>Football</t>
        </is>
      </c>
      <c r="C119" s="9" t="inlineStr">
        <is>
          <t>Premier League</t>
        </is>
      </c>
      <c r="D119" s="9" t="inlineStr">
        <is>
          <t>2026-2027</t>
        </is>
      </c>
      <c r="E119" s="9" t="inlineStr">
        <is>
          <t>Saison régulière</t>
        </is>
      </c>
      <c r="F119" s="9" t="n">
        <v>8</v>
      </c>
      <c r="G119" s="9" t="inlineStr">
        <is>
          <t>Premier League – Journée 8</t>
        </is>
      </c>
      <c r="H119" s="10" t="n">
        <v>46318</v>
      </c>
      <c r="I119" s="10" t="n">
        <v>46320</v>
      </c>
      <c r="J119" s="11" t="n"/>
      <c r="K119" s="9" t="inlineStr">
        <is>
          <t>Europe/Paris</t>
        </is>
      </c>
      <c r="L119" s="9" t="n"/>
      <c r="M119" s="9" t="inlineStr">
        <is>
          <t>Angleterre</t>
        </is>
      </c>
      <c r="N119" s="9" t="inlineStr">
        <is>
          <t>Hommes</t>
        </is>
      </c>
      <c r="O119" s="9" t="inlineStr">
        <is>
          <t>Provisoire</t>
        </is>
      </c>
      <c r="P119" s="9" t="inlineStr">
        <is>
          <t>Oui</t>
        </is>
      </c>
      <c r="Q119" s="9" t="inlineStr">
        <is>
          <t>https://www.premierleague.com/en/news/4675097/all-380-fixtures-for-202627-premier-league-season</t>
        </is>
      </c>
      <c r="R119" s="10" t="n">
        <v>46311</v>
      </c>
      <c r="S119" s="9" t="inlineStr">
        <is>
          <t>Ouverture ven. 23/10 ; date du dernier match non vérifiée</t>
        </is>
      </c>
      <c r="T119" s="9">
        <f>IF(H119="","",IF(MAX(H119,I119)&lt;TODAY(),"Terminé",IF(H119&lt;=TODAY(),"En cours","À venir")))</f>
        <v/>
      </c>
    </row>
    <row r="120">
      <c r="A120" s="9" t="inlineStr">
        <is>
          <t>EPL-2627-009</t>
        </is>
      </c>
      <c r="B120" s="9" t="inlineStr">
        <is>
          <t>Football</t>
        </is>
      </c>
      <c r="C120" s="9" t="inlineStr">
        <is>
          <t>Premier League</t>
        </is>
      </c>
      <c r="D120" s="9" t="inlineStr">
        <is>
          <t>2026-2027</t>
        </is>
      </c>
      <c r="E120" s="9" t="inlineStr">
        <is>
          <t>Saison régulière</t>
        </is>
      </c>
      <c r="F120" s="9" t="n">
        <v>9</v>
      </c>
      <c r="G120" s="9" t="inlineStr">
        <is>
          <t>Premier League – Journée 9</t>
        </is>
      </c>
      <c r="H120" s="10" t="n">
        <v>46326</v>
      </c>
      <c r="I120" s="10" t="n">
        <v>46328</v>
      </c>
      <c r="J120" s="11" t="n"/>
      <c r="K120" s="9" t="inlineStr">
        <is>
          <t>Europe/Paris</t>
        </is>
      </c>
      <c r="L120" s="9" t="n"/>
      <c r="M120" s="9" t="inlineStr">
        <is>
          <t>Angleterre</t>
        </is>
      </c>
      <c r="N120" s="9" t="inlineStr">
        <is>
          <t>Hommes</t>
        </is>
      </c>
      <c r="O120" s="9" t="inlineStr">
        <is>
          <t>Officiel</t>
        </is>
      </c>
      <c r="P120" s="9" t="inlineStr">
        <is>
          <t>Oui</t>
        </is>
      </c>
      <c r="Q120" s="9" t="inlineStr">
        <is>
          <t>https://www.premierleague.com/en/news/4675097/all-380-fixtures-for-202627-premier-league-season</t>
        </is>
      </c>
      <c r="R120" s="10" t="n">
        <v>46311</v>
      </c>
      <c r="S120" s="9" t="n"/>
      <c r="T120" s="9">
        <f>IF(H120="","",IF(MAX(H120,I120)&lt;TODAY(),"Terminé",IF(H120&lt;=TODAY(),"En cours","À venir")))</f>
        <v/>
      </c>
    </row>
    <row r="121">
      <c r="A121" s="9" t="inlineStr">
        <is>
          <t>EPL-2627-010</t>
        </is>
      </c>
      <c r="B121" s="9" t="inlineStr">
        <is>
          <t>Football</t>
        </is>
      </c>
      <c r="C121" s="9" t="inlineStr">
        <is>
          <t>Premier League</t>
        </is>
      </c>
      <c r="D121" s="9" t="inlineStr">
        <is>
          <t>2026-2027</t>
        </is>
      </c>
      <c r="E121" s="9" t="inlineStr">
        <is>
          <t>Saison régulière</t>
        </is>
      </c>
      <c r="F121" s="9" t="n">
        <v>10</v>
      </c>
      <c r="G121" s="9" t="inlineStr">
        <is>
          <t>Premier League – Journée 10</t>
        </is>
      </c>
      <c r="H121" s="10" t="n">
        <v>46332</v>
      </c>
      <c r="I121" s="10" t="n">
        <v>46334</v>
      </c>
      <c r="J121" s="11" t="n"/>
      <c r="K121" s="9" t="inlineStr">
        <is>
          <t>Europe/Paris</t>
        </is>
      </c>
      <c r="L121" s="9" t="n"/>
      <c r="M121" s="9" t="inlineStr">
        <is>
          <t>Angleterre</t>
        </is>
      </c>
      <c r="N121" s="9" t="inlineStr">
        <is>
          <t>Hommes</t>
        </is>
      </c>
      <c r="O121" s="9" t="inlineStr">
        <is>
          <t>Officiel</t>
        </is>
      </c>
      <c r="P121" s="9" t="inlineStr">
        <is>
          <t>Oui</t>
        </is>
      </c>
      <c r="Q121" s="9" t="inlineStr">
        <is>
          <t>https://www.premierleague.com/en/news/4675097/all-380-fixtures-for-202627-premier-league-season</t>
        </is>
      </c>
      <c r="R121" s="10" t="n">
        <v>46311</v>
      </c>
      <c r="S121" s="9" t="inlineStr">
        <is>
          <t>Présence d'un match le lundi 9/11 non vérifiée</t>
        </is>
      </c>
      <c r="T121" s="9">
        <f>IF(H121="","",IF(MAX(H121,I121)&lt;TODAY(),"Terminé",IF(H121&lt;=TODAY(),"En cours","À venir")))</f>
        <v/>
      </c>
    </row>
    <row r="122">
      <c r="A122" s="9" t="inlineStr">
        <is>
          <t>EPL-2627-011</t>
        </is>
      </c>
      <c r="B122" s="9" t="inlineStr">
        <is>
          <t>Football</t>
        </is>
      </c>
      <c r="C122" s="9" t="inlineStr">
        <is>
          <t>Premier League</t>
        </is>
      </c>
      <c r="D122" s="9" t="inlineStr">
        <is>
          <t>2026-2027</t>
        </is>
      </c>
      <c r="E122" s="9" t="inlineStr">
        <is>
          <t>Saison régulière</t>
        </is>
      </c>
      <c r="F122" s="9" t="n">
        <v>11</v>
      </c>
      <c r="G122" s="9" t="inlineStr">
        <is>
          <t>Premier League – Journée 11</t>
        </is>
      </c>
      <c r="H122" s="10" t="n">
        <v>46347</v>
      </c>
      <c r="I122" s="10" t="n">
        <v>46349</v>
      </c>
      <c r="J122" s="11" t="n"/>
      <c r="K122" s="9" t="inlineStr">
        <is>
          <t>Europe/Paris</t>
        </is>
      </c>
      <c r="L122" s="9" t="n"/>
      <c r="M122" s="9" t="inlineStr">
        <is>
          <t>Angleterre</t>
        </is>
      </c>
      <c r="N122" s="9" t="inlineStr">
        <is>
          <t>Hommes</t>
        </is>
      </c>
      <c r="O122" s="9" t="inlineStr">
        <is>
          <t>Officiel</t>
        </is>
      </c>
      <c r="P122" s="9" t="inlineStr">
        <is>
          <t>Oui</t>
        </is>
      </c>
      <c r="Q122" s="9" t="inlineStr">
        <is>
          <t>https://www.premierleague.com/en/news/4675097/all-380-fixtures-for-202627-premier-league-season</t>
        </is>
      </c>
      <c r="R122" s="10" t="n">
        <v>46311</v>
      </c>
      <c r="S122" s="9" t="inlineStr">
        <is>
          <t>Clôture lun. 23/11 (Brentford–Everton)</t>
        </is>
      </c>
      <c r="T122" s="9">
        <f>IF(H122="","",IF(MAX(H122,I122)&lt;TODAY(),"Terminé",IF(H122&lt;=TODAY(),"En cours","À venir")))</f>
        <v/>
      </c>
    </row>
    <row r="123">
      <c r="A123" s="9" t="inlineStr">
        <is>
          <t>EPL-2627-012</t>
        </is>
      </c>
      <c r="B123" s="9" t="inlineStr">
        <is>
          <t>Football</t>
        </is>
      </c>
      <c r="C123" s="9" t="inlineStr">
        <is>
          <t>Premier League</t>
        </is>
      </c>
      <c r="D123" s="9" t="inlineStr">
        <is>
          <t>2026-2027</t>
        </is>
      </c>
      <c r="E123" s="9" t="inlineStr">
        <is>
          <t>Saison régulière</t>
        </is>
      </c>
      <c r="F123" s="9" t="n">
        <v>12</v>
      </c>
      <c r="G123" s="9" t="inlineStr">
        <is>
          <t>Premier League – Journée 12</t>
        </is>
      </c>
      <c r="H123" s="10" t="n">
        <v>46353</v>
      </c>
      <c r="I123" s="10" t="n">
        <v>46355</v>
      </c>
      <c r="J123" s="11" t="n"/>
      <c r="K123" s="9" t="inlineStr">
        <is>
          <t>Europe/Paris</t>
        </is>
      </c>
      <c r="L123" s="9" t="n"/>
      <c r="M123" s="9" t="inlineStr">
        <is>
          <t>Angleterre</t>
        </is>
      </c>
      <c r="N123" s="9" t="inlineStr">
        <is>
          <t>Hommes</t>
        </is>
      </c>
      <c r="O123" s="9" t="inlineStr">
        <is>
          <t>Officiel</t>
        </is>
      </c>
      <c r="P123" s="9" t="inlineStr">
        <is>
          <t>Oui</t>
        </is>
      </c>
      <c r="Q123" s="9" t="inlineStr">
        <is>
          <t>https://www.premierleague.com/en/news/4675097/all-380-fixtures-for-202627-premier-league-season</t>
        </is>
      </c>
      <c r="R123" s="10" t="n">
        <v>46311</v>
      </c>
      <c r="S123" s="9" t="n"/>
      <c r="T123" s="9">
        <f>IF(H123="","",IF(MAX(H123,I123)&lt;TODAY(),"Terminé",IF(H123&lt;=TODAY(),"En cours","À venir")))</f>
        <v/>
      </c>
    </row>
    <row r="124">
      <c r="A124" s="9" t="inlineStr">
        <is>
          <t>EPL-2627-013</t>
        </is>
      </c>
      <c r="B124" s="9" t="inlineStr">
        <is>
          <t>Football</t>
        </is>
      </c>
      <c r="C124" s="9" t="inlineStr">
        <is>
          <t>Premier League</t>
        </is>
      </c>
      <c r="D124" s="9" t="inlineStr">
        <is>
          <t>2026-2027</t>
        </is>
      </c>
      <c r="E124" s="9" t="inlineStr">
        <is>
          <t>Saison régulière</t>
        </is>
      </c>
      <c r="F124" s="9" t="n">
        <v>13</v>
      </c>
      <c r="G124" s="9" t="inlineStr">
        <is>
          <t>Premier League – Journée 13</t>
        </is>
      </c>
      <c r="H124" s="10" t="n">
        <v>46358</v>
      </c>
      <c r="I124" s="10" t="n">
        <v>46358</v>
      </c>
      <c r="J124" s="11" t="n"/>
      <c r="K124" s="9" t="inlineStr">
        <is>
          <t>Europe/Paris</t>
        </is>
      </c>
      <c r="L124" s="9" t="n"/>
      <c r="M124" s="9" t="inlineStr">
        <is>
          <t>Angleterre</t>
        </is>
      </c>
      <c r="N124" s="9" t="inlineStr">
        <is>
          <t>Hommes</t>
        </is>
      </c>
      <c r="O124" s="9" t="inlineStr">
        <is>
          <t>Provisoire</t>
        </is>
      </c>
      <c r="P124" s="9" t="inlineStr">
        <is>
          <t>Oui</t>
        </is>
      </c>
      <c r="Q124" s="9" t="inlineStr">
        <is>
          <t>https://www.premierleague.com/en/news/4675097/all-380-fixtures-for-202627-premier-league-season</t>
        </is>
      </c>
      <c r="R124" s="10" t="n">
        <v>46311</v>
      </c>
      <c r="S124" s="9" t="inlineStr">
        <is>
          <t>Journée en semaine ; 9 matchs le mercredi 2/12, date du 10e non vérifiée</t>
        </is>
      </c>
      <c r="T124" s="9">
        <f>IF(H124="","",IF(MAX(H124,I124)&lt;TODAY(),"Terminé",IF(H124&lt;=TODAY(),"En cours","À venir")))</f>
        <v/>
      </c>
    </row>
    <row r="125">
      <c r="A125" s="9" t="inlineStr">
        <is>
          <t>EPL-2627-014</t>
        </is>
      </c>
      <c r="B125" s="9" t="inlineStr">
        <is>
          <t>Football</t>
        </is>
      </c>
      <c r="C125" s="9" t="inlineStr">
        <is>
          <t>Premier League</t>
        </is>
      </c>
      <c r="D125" s="9" t="inlineStr">
        <is>
          <t>2026-2027</t>
        </is>
      </c>
      <c r="E125" s="9" t="inlineStr">
        <is>
          <t>Saison régulière</t>
        </is>
      </c>
      <c r="F125" s="9" t="n">
        <v>14</v>
      </c>
      <c r="G125" s="9" t="inlineStr">
        <is>
          <t>Premier League – Journée 14</t>
        </is>
      </c>
      <c r="H125" s="10" t="n">
        <v>46360</v>
      </c>
      <c r="I125" s="10" t="n">
        <v>46363</v>
      </c>
      <c r="J125" s="11" t="n"/>
      <c r="K125" s="9" t="inlineStr">
        <is>
          <t>Europe/Paris</t>
        </is>
      </c>
      <c r="L125" s="9" t="n"/>
      <c r="M125" s="9" t="inlineStr">
        <is>
          <t>Angleterre</t>
        </is>
      </c>
      <c r="N125" s="9" t="inlineStr">
        <is>
          <t>Hommes</t>
        </is>
      </c>
      <c r="O125" s="9" t="inlineStr">
        <is>
          <t>Provisoire</t>
        </is>
      </c>
      <c r="P125" s="9" t="inlineStr">
        <is>
          <t>Oui</t>
        </is>
      </c>
      <c r="Q125" s="9" t="inlineStr">
        <is>
          <t>https://www.arsenal.com/news/arsenals-202627-premier-league-fixture-list-aONqx5R7tK9m</t>
        </is>
      </c>
      <c r="R125" s="10" t="n">
        <v>46311</v>
      </c>
      <c r="S125" s="9" t="inlineStr">
        <is>
          <t>Date nominale samedi 05/12 ; fenêtre ven.–lun. ; programmation TV non publiée</t>
        </is>
      </c>
      <c r="T125" s="9">
        <f>IF(H125="","",IF(MAX(H125,I125)&lt;TODAY(),"Terminé",IF(H125&lt;=TODAY(),"En cours","À venir")))</f>
        <v/>
      </c>
    </row>
    <row r="126">
      <c r="A126" s="9" t="inlineStr">
        <is>
          <t>EPL-2627-015</t>
        </is>
      </c>
      <c r="B126" s="9" t="inlineStr">
        <is>
          <t>Football</t>
        </is>
      </c>
      <c r="C126" s="9" t="inlineStr">
        <is>
          <t>Premier League</t>
        </is>
      </c>
      <c r="D126" s="9" t="inlineStr">
        <is>
          <t>2026-2027</t>
        </is>
      </c>
      <c r="E126" s="9" t="inlineStr">
        <is>
          <t>Saison régulière</t>
        </is>
      </c>
      <c r="F126" s="9" t="n">
        <v>15</v>
      </c>
      <c r="G126" s="9" t="inlineStr">
        <is>
          <t>Premier League – Journée 15</t>
        </is>
      </c>
      <c r="H126" s="10" t="n">
        <v>46367</v>
      </c>
      <c r="I126" s="10" t="n">
        <v>46370</v>
      </c>
      <c r="J126" s="11" t="n"/>
      <c r="K126" s="9" t="inlineStr">
        <is>
          <t>Europe/Paris</t>
        </is>
      </c>
      <c r="L126" s="9" t="n"/>
      <c r="M126" s="9" t="inlineStr">
        <is>
          <t>Angleterre</t>
        </is>
      </c>
      <c r="N126" s="9" t="inlineStr">
        <is>
          <t>Hommes</t>
        </is>
      </c>
      <c r="O126" s="9" t="inlineStr">
        <is>
          <t>Provisoire</t>
        </is>
      </c>
      <c r="P126" s="9" t="inlineStr">
        <is>
          <t>Oui</t>
        </is>
      </c>
      <c r="Q126" s="9" t="inlineStr">
        <is>
          <t>https://www.arsenal.com/news/arsenals-202627-premier-league-fixture-list-aONqx5R7tK9m</t>
        </is>
      </c>
      <c r="R126" s="10" t="n">
        <v>46311</v>
      </c>
      <c r="S126" s="9" t="inlineStr">
        <is>
          <t>Date nominale samedi 12/12 ; fenêtre ven.–lun. ; programmation TV non publiée</t>
        </is>
      </c>
      <c r="T126" s="9">
        <f>IF(H126="","",IF(MAX(H126,I126)&lt;TODAY(),"Terminé",IF(H126&lt;=TODAY(),"En cours","À venir")))</f>
        <v/>
      </c>
    </row>
    <row r="127">
      <c r="A127" s="9" t="inlineStr">
        <is>
          <t>EPL-2627-016</t>
        </is>
      </c>
      <c r="B127" s="9" t="inlineStr">
        <is>
          <t>Football</t>
        </is>
      </c>
      <c r="C127" s="9" t="inlineStr">
        <is>
          <t>Premier League</t>
        </is>
      </c>
      <c r="D127" s="9" t="inlineStr">
        <is>
          <t>2026-2027</t>
        </is>
      </c>
      <c r="E127" s="9" t="inlineStr">
        <is>
          <t>Saison régulière</t>
        </is>
      </c>
      <c r="F127" s="9" t="n">
        <v>16</v>
      </c>
      <c r="G127" s="9" t="inlineStr">
        <is>
          <t>Premier League – Journée 16</t>
        </is>
      </c>
      <c r="H127" s="10" t="n">
        <v>46374</v>
      </c>
      <c r="I127" s="10" t="n">
        <v>46377</v>
      </c>
      <c r="J127" s="11" t="n"/>
      <c r="K127" s="9" t="inlineStr">
        <is>
          <t>Europe/Paris</t>
        </is>
      </c>
      <c r="L127" s="9" t="n"/>
      <c r="M127" s="9" t="inlineStr">
        <is>
          <t>Angleterre</t>
        </is>
      </c>
      <c r="N127" s="9" t="inlineStr">
        <is>
          <t>Hommes</t>
        </is>
      </c>
      <c r="O127" s="9" t="inlineStr">
        <is>
          <t>Provisoire</t>
        </is>
      </c>
      <c r="P127" s="9" t="inlineStr">
        <is>
          <t>Oui</t>
        </is>
      </c>
      <c r="Q127" s="9" t="inlineStr">
        <is>
          <t>https://www.arsenal.com/news/arsenals-202627-premier-league-fixture-list-aONqx5R7tK9m</t>
        </is>
      </c>
      <c r="R127" s="10" t="n">
        <v>46311</v>
      </c>
      <c r="S127" s="9" t="inlineStr">
        <is>
          <t>Date nominale samedi 19/12 ; fenêtre ven.–lun. ; programmation TV non publiée</t>
        </is>
      </c>
      <c r="T127" s="9">
        <f>IF(H127="","",IF(MAX(H127,I127)&lt;TODAY(),"Terminé",IF(H127&lt;=TODAY(),"En cours","À venir")))</f>
        <v/>
      </c>
    </row>
    <row r="128">
      <c r="A128" s="9" t="inlineStr">
        <is>
          <t>EPL-2627-017</t>
        </is>
      </c>
      <c r="B128" s="9" t="inlineStr">
        <is>
          <t>Football</t>
        </is>
      </c>
      <c r="C128" s="9" t="inlineStr">
        <is>
          <t>Premier League</t>
        </is>
      </c>
      <c r="D128" s="9" t="inlineStr">
        <is>
          <t>2026-2027</t>
        </is>
      </c>
      <c r="E128" s="9" t="inlineStr">
        <is>
          <t>Saison régulière</t>
        </is>
      </c>
      <c r="F128" s="9" t="n">
        <v>17</v>
      </c>
      <c r="G128" s="9" t="inlineStr">
        <is>
          <t>Premier League – Journée 17</t>
        </is>
      </c>
      <c r="H128" s="10" t="n">
        <v>46382</v>
      </c>
      <c r="I128" s="10" t="n">
        <v>46384</v>
      </c>
      <c r="J128" s="11" t="n"/>
      <c r="K128" s="9" t="inlineStr">
        <is>
          <t>Europe/Paris</t>
        </is>
      </c>
      <c r="L128" s="9" t="n"/>
      <c r="M128" s="9" t="inlineStr">
        <is>
          <t>Angleterre</t>
        </is>
      </c>
      <c r="N128" s="9" t="inlineStr">
        <is>
          <t>Hommes</t>
        </is>
      </c>
      <c r="O128" s="9" t="inlineStr">
        <is>
          <t>Provisoire</t>
        </is>
      </c>
      <c r="P128" s="9" t="inlineStr">
        <is>
          <t>Oui</t>
        </is>
      </c>
      <c r="Q128" s="9" t="inlineStr">
        <is>
          <t>https://www.premierleague.com/en/news/4675097/all-380-fixtures-for-202627-premier-league-season</t>
        </is>
      </c>
      <c r="R128" s="10" t="n">
        <v>46311</v>
      </c>
      <c r="S128" s="9" t="inlineStr">
        <is>
          <t>Boxing Day (7 matchs le 26/12) ; certains matchs le 27/12</t>
        </is>
      </c>
      <c r="T128" s="9">
        <f>IF(H128="","",IF(MAX(H128,I128)&lt;TODAY(),"Terminé",IF(H128&lt;=TODAY(),"En cours","À venir")))</f>
        <v/>
      </c>
    </row>
    <row r="129">
      <c r="A129" s="9" t="inlineStr">
        <is>
          <t>EPL-2627-018</t>
        </is>
      </c>
      <c r="B129" s="9" t="inlineStr">
        <is>
          <t>Football</t>
        </is>
      </c>
      <c r="C129" s="9" t="inlineStr">
        <is>
          <t>Premier League</t>
        </is>
      </c>
      <c r="D129" s="9" t="inlineStr">
        <is>
          <t>2026-2027</t>
        </is>
      </c>
      <c r="E129" s="9" t="inlineStr">
        <is>
          <t>Saison régulière</t>
        </is>
      </c>
      <c r="F129" s="9" t="n">
        <v>18</v>
      </c>
      <c r="G129" s="9" t="inlineStr">
        <is>
          <t>Premier League – Journée 18</t>
        </is>
      </c>
      <c r="H129" s="10" t="n">
        <v>46385</v>
      </c>
      <c r="I129" s="10" t="n">
        <v>46386</v>
      </c>
      <c r="J129" s="11" t="n"/>
      <c r="K129" s="9" t="inlineStr">
        <is>
          <t>Europe/Paris</t>
        </is>
      </c>
      <c r="L129" s="9" t="n"/>
      <c r="M129" s="9" t="inlineStr">
        <is>
          <t>Angleterre</t>
        </is>
      </c>
      <c r="N129" s="9" t="inlineStr">
        <is>
          <t>Hommes</t>
        </is>
      </c>
      <c r="O129" s="9" t="inlineStr">
        <is>
          <t>Provisoire</t>
        </is>
      </c>
      <c r="P129" s="9" t="inlineStr">
        <is>
          <t>Oui</t>
        </is>
      </c>
      <c r="Q129" s="9" t="inlineStr">
        <is>
          <t>https://www.premierleague.com/en/news/4675097/all-380-fixtures-for-202627-premier-league-season</t>
        </is>
      </c>
      <c r="R129" s="10" t="n">
        <v>46311</v>
      </c>
      <c r="S129" s="9" t="inlineStr">
        <is>
          <t>Journée en semaine (mar. 29 et mer. 30 déc.)</t>
        </is>
      </c>
      <c r="T129" s="9">
        <f>IF(H129="","",IF(MAX(H129,I129)&lt;TODAY(),"Terminé",IF(H129&lt;=TODAY(),"En cours","À venir")))</f>
        <v/>
      </c>
    </row>
    <row r="130">
      <c r="A130" s="9" t="inlineStr">
        <is>
          <t>EPL-2627-019</t>
        </is>
      </c>
      <c r="B130" s="9" t="inlineStr">
        <is>
          <t>Football</t>
        </is>
      </c>
      <c r="C130" s="9" t="inlineStr">
        <is>
          <t>Premier League</t>
        </is>
      </c>
      <c r="D130" s="9" t="inlineStr">
        <is>
          <t>2026-2027</t>
        </is>
      </c>
      <c r="E130" s="9" t="inlineStr">
        <is>
          <t>Saison régulière</t>
        </is>
      </c>
      <c r="F130" s="9" t="n">
        <v>19</v>
      </c>
      <c r="G130" s="9" t="inlineStr">
        <is>
          <t>Premier League – Journée 19</t>
        </is>
      </c>
      <c r="H130" s="10" t="n">
        <v>46388</v>
      </c>
      <c r="I130" s="10" t="n">
        <v>46390</v>
      </c>
      <c r="J130" s="11" t="n"/>
      <c r="K130" s="9" t="inlineStr">
        <is>
          <t>Europe/Paris</t>
        </is>
      </c>
      <c r="L130" s="9" t="n"/>
      <c r="M130" s="9" t="inlineStr">
        <is>
          <t>Angleterre</t>
        </is>
      </c>
      <c r="N130" s="9" t="inlineStr">
        <is>
          <t>Hommes</t>
        </is>
      </c>
      <c r="O130" s="9" t="inlineStr">
        <is>
          <t>Provisoire</t>
        </is>
      </c>
      <c r="P130" s="9" t="inlineStr">
        <is>
          <t>Oui</t>
        </is>
      </c>
      <c r="Q130" s="9" t="inlineStr">
        <is>
          <t>https://www.premierleague.com/en/news/4675097/all-380-fixtures-for-202627-premier-league-season</t>
        </is>
      </c>
      <c r="R130" s="10" t="n">
        <v>46311</v>
      </c>
      <c r="S130" s="9" t="inlineStr">
        <is>
          <t>Matchs du ven. 1er au dim. 3 janvier</t>
        </is>
      </c>
      <c r="T130" s="9">
        <f>IF(H130="","",IF(MAX(H130,I130)&lt;TODAY(),"Terminé",IF(H130&lt;=TODAY(),"En cours","À venir")))</f>
        <v/>
      </c>
    </row>
    <row r="131">
      <c r="A131" s="9" t="inlineStr">
        <is>
          <t>EPL-2627-020</t>
        </is>
      </c>
      <c r="B131" s="9" t="inlineStr">
        <is>
          <t>Football</t>
        </is>
      </c>
      <c r="C131" s="9" t="inlineStr">
        <is>
          <t>Premier League</t>
        </is>
      </c>
      <c r="D131" s="9" t="inlineStr">
        <is>
          <t>2026-2027</t>
        </is>
      </c>
      <c r="E131" s="9" t="inlineStr">
        <is>
          <t>Saison régulière</t>
        </is>
      </c>
      <c r="F131" s="9" t="n">
        <v>20</v>
      </c>
      <c r="G131" s="9" t="inlineStr">
        <is>
          <t>Premier League – Journée 20</t>
        </is>
      </c>
      <c r="H131" s="10" t="n">
        <v>46392</v>
      </c>
      <c r="I131" s="10" t="n">
        <v>46394</v>
      </c>
      <c r="J131" s="11" t="n"/>
      <c r="K131" s="9" t="inlineStr">
        <is>
          <t>Europe/Paris</t>
        </is>
      </c>
      <c r="L131" s="9" t="n"/>
      <c r="M131" s="9" t="inlineStr">
        <is>
          <t>Angleterre</t>
        </is>
      </c>
      <c r="N131" s="9" t="inlineStr">
        <is>
          <t>Hommes</t>
        </is>
      </c>
      <c r="O131" s="9" t="inlineStr">
        <is>
          <t>Provisoire</t>
        </is>
      </c>
      <c r="P131" s="9" t="inlineStr">
        <is>
          <t>Oui</t>
        </is>
      </c>
      <c r="Q131" s="9" t="inlineStr">
        <is>
          <t>https://www.premierleague.com/en/news/4675097/all-380-fixtures-for-202627-premier-league-season</t>
        </is>
      </c>
      <c r="R131" s="10" t="n">
        <v>46311</v>
      </c>
      <c r="S131" s="9" t="inlineStr">
        <is>
          <t>Journée en semaine (mar. 5 au jeu. 7 janvier)</t>
        </is>
      </c>
      <c r="T131" s="9">
        <f>IF(H131="","",IF(MAX(H131,I131)&lt;TODAY(),"Terminé",IF(H131&lt;=TODAY(),"En cours","À venir")))</f>
        <v/>
      </c>
    </row>
    <row r="132">
      <c r="A132" s="9" t="inlineStr">
        <is>
          <t>EPL-2627-021</t>
        </is>
      </c>
      <c r="B132" s="9" t="inlineStr">
        <is>
          <t>Football</t>
        </is>
      </c>
      <c r="C132" s="9" t="inlineStr">
        <is>
          <t>Premier League</t>
        </is>
      </c>
      <c r="D132" s="9" t="inlineStr">
        <is>
          <t>2026-2027</t>
        </is>
      </c>
      <c r="E132" s="9" t="inlineStr">
        <is>
          <t>Saison régulière</t>
        </is>
      </c>
      <c r="F132" s="9" t="n">
        <v>21</v>
      </c>
      <c r="G132" s="9" t="inlineStr">
        <is>
          <t>Premier League – Journée 21</t>
        </is>
      </c>
      <c r="H132" s="10" t="n">
        <v>46402</v>
      </c>
      <c r="I132" s="10" t="n">
        <v>46405</v>
      </c>
      <c r="J132" s="11" t="n"/>
      <c r="K132" s="9" t="inlineStr">
        <is>
          <t>Europe/Paris</t>
        </is>
      </c>
      <c r="L132" s="9" t="n"/>
      <c r="M132" s="9" t="inlineStr">
        <is>
          <t>Angleterre</t>
        </is>
      </c>
      <c r="N132" s="9" t="inlineStr">
        <is>
          <t>Hommes</t>
        </is>
      </c>
      <c r="O132" s="9" t="inlineStr">
        <is>
          <t>Provisoire</t>
        </is>
      </c>
      <c r="P132" s="9" t="inlineStr">
        <is>
          <t>Oui</t>
        </is>
      </c>
      <c r="Q132" s="9" t="inlineStr">
        <is>
          <t>https://www.arsenal.com/news/arsenals-202627-premier-league-fixture-list-aONqx5R7tK9m</t>
        </is>
      </c>
      <c r="R132" s="10" t="n">
        <v>46311</v>
      </c>
      <c r="S132" s="9" t="inlineStr">
        <is>
          <t>Date nominale samedi 16/01 ; fenêtre ven.–lun. ; programmation TV non publiée</t>
        </is>
      </c>
      <c r="T132" s="9">
        <f>IF(H132="","",IF(MAX(H132,I132)&lt;TODAY(),"Terminé",IF(H132&lt;=TODAY(),"En cours","À venir")))</f>
        <v/>
      </c>
    </row>
    <row r="133">
      <c r="A133" s="9" t="inlineStr">
        <is>
          <t>EPL-2627-022</t>
        </is>
      </c>
      <c r="B133" s="9" t="inlineStr">
        <is>
          <t>Football</t>
        </is>
      </c>
      <c r="C133" s="9" t="inlineStr">
        <is>
          <t>Premier League</t>
        </is>
      </c>
      <c r="D133" s="9" t="inlineStr">
        <is>
          <t>2026-2027</t>
        </is>
      </c>
      <c r="E133" s="9" t="inlineStr">
        <is>
          <t>Saison régulière</t>
        </is>
      </c>
      <c r="F133" s="9" t="n">
        <v>22</v>
      </c>
      <c r="G133" s="9" t="inlineStr">
        <is>
          <t>Premier League – Journée 22</t>
        </is>
      </c>
      <c r="H133" s="10" t="n">
        <v>46409</v>
      </c>
      <c r="I133" s="10" t="n">
        <v>46412</v>
      </c>
      <c r="J133" s="11" t="n"/>
      <c r="K133" s="9" t="inlineStr">
        <is>
          <t>Europe/Paris</t>
        </is>
      </c>
      <c r="L133" s="9" t="n"/>
      <c r="M133" s="9" t="inlineStr">
        <is>
          <t>Angleterre</t>
        </is>
      </c>
      <c r="N133" s="9" t="inlineStr">
        <is>
          <t>Hommes</t>
        </is>
      </c>
      <c r="O133" s="9" t="inlineStr">
        <is>
          <t>Provisoire</t>
        </is>
      </c>
      <c r="P133" s="9" t="inlineStr">
        <is>
          <t>Oui</t>
        </is>
      </c>
      <c r="Q133" s="9" t="inlineStr">
        <is>
          <t>https://www.arsenal.com/news/arsenals-202627-premier-league-fixture-list-aONqx5R7tK9m</t>
        </is>
      </c>
      <c r="R133" s="10" t="n">
        <v>46311</v>
      </c>
      <c r="S133" s="9" t="inlineStr">
        <is>
          <t>Date nominale samedi 23/01 ; fenêtre ven.–lun. ; programmation TV non publiée</t>
        </is>
      </c>
      <c r="T133" s="9">
        <f>IF(H133="","",IF(MAX(H133,I133)&lt;TODAY(),"Terminé",IF(H133&lt;=TODAY(),"En cours","À venir")))</f>
        <v/>
      </c>
    </row>
    <row r="134">
      <c r="A134" s="9" t="inlineStr">
        <is>
          <t>EPL-2627-023</t>
        </is>
      </c>
      <c r="B134" s="9" t="inlineStr">
        <is>
          <t>Football</t>
        </is>
      </c>
      <c r="C134" s="9" t="inlineStr">
        <is>
          <t>Premier League</t>
        </is>
      </c>
      <c r="D134" s="9" t="inlineStr">
        <is>
          <t>2026-2027</t>
        </is>
      </c>
      <c r="E134" s="9" t="inlineStr">
        <is>
          <t>Saison régulière</t>
        </is>
      </c>
      <c r="F134" s="9" t="n">
        <v>23</v>
      </c>
      <c r="G134" s="9" t="inlineStr">
        <is>
          <t>Premier League – Journée 23</t>
        </is>
      </c>
      <c r="H134" s="10" t="n">
        <v>46416</v>
      </c>
      <c r="I134" s="10" t="n">
        <v>46419</v>
      </c>
      <c r="J134" s="11" t="n"/>
      <c r="K134" s="9" t="inlineStr">
        <is>
          <t>Europe/Paris</t>
        </is>
      </c>
      <c r="L134" s="9" t="n"/>
      <c r="M134" s="9" t="inlineStr">
        <is>
          <t>Angleterre</t>
        </is>
      </c>
      <c r="N134" s="9" t="inlineStr">
        <is>
          <t>Hommes</t>
        </is>
      </c>
      <c r="O134" s="9" t="inlineStr">
        <is>
          <t>Provisoire</t>
        </is>
      </c>
      <c r="P134" s="9" t="inlineStr">
        <is>
          <t>Oui</t>
        </is>
      </c>
      <c r="Q134" s="9" t="inlineStr">
        <is>
          <t>https://www.arsenal.com/news/arsenals-202627-premier-league-fixture-list-aONqx5R7tK9m</t>
        </is>
      </c>
      <c r="R134" s="10" t="n">
        <v>46311</v>
      </c>
      <c r="S134" s="9" t="inlineStr">
        <is>
          <t>Date nominale samedi 30/01 ; fenêtre ven.–lun. ; programmation TV non publiée</t>
        </is>
      </c>
      <c r="T134" s="9">
        <f>IF(H134="","",IF(MAX(H134,I134)&lt;TODAY(),"Terminé",IF(H134&lt;=TODAY(),"En cours","À venir")))</f>
        <v/>
      </c>
    </row>
    <row r="135">
      <c r="A135" s="9" t="inlineStr">
        <is>
          <t>EPL-2627-024</t>
        </is>
      </c>
      <c r="B135" s="9" t="inlineStr">
        <is>
          <t>Football</t>
        </is>
      </c>
      <c r="C135" s="9" t="inlineStr">
        <is>
          <t>Premier League</t>
        </is>
      </c>
      <c r="D135" s="9" t="inlineStr">
        <is>
          <t>2026-2027</t>
        </is>
      </c>
      <c r="E135" s="9" t="inlineStr">
        <is>
          <t>Saison régulière</t>
        </is>
      </c>
      <c r="F135" s="9" t="n">
        <v>24</v>
      </c>
      <c r="G135" s="9" t="inlineStr">
        <is>
          <t>Premier League – Journée 24</t>
        </is>
      </c>
      <c r="H135" s="10" t="n">
        <v>46423</v>
      </c>
      <c r="I135" s="10" t="n">
        <v>46426</v>
      </c>
      <c r="J135" s="11" t="n"/>
      <c r="K135" s="9" t="inlineStr">
        <is>
          <t>Europe/Paris</t>
        </is>
      </c>
      <c r="L135" s="9" t="n"/>
      <c r="M135" s="9" t="inlineStr">
        <is>
          <t>Angleterre</t>
        </is>
      </c>
      <c r="N135" s="9" t="inlineStr">
        <is>
          <t>Hommes</t>
        </is>
      </c>
      <c r="O135" s="9" t="inlineStr">
        <is>
          <t>Provisoire</t>
        </is>
      </c>
      <c r="P135" s="9" t="inlineStr">
        <is>
          <t>Oui</t>
        </is>
      </c>
      <c r="Q135" s="9" t="inlineStr">
        <is>
          <t>https://www.arsenal.com/news/arsenals-202627-premier-league-fixture-list-aONqx5R7tK9m</t>
        </is>
      </c>
      <c r="R135" s="10" t="n">
        <v>46311</v>
      </c>
      <c r="S135" s="9" t="inlineStr">
        <is>
          <t>Date nominale samedi 06/02 ; fenêtre ven.–lun. ; programmation TV non publiée</t>
        </is>
      </c>
      <c r="T135" s="9">
        <f>IF(H135="","",IF(MAX(H135,I135)&lt;TODAY(),"Terminé",IF(H135&lt;=TODAY(),"En cours","À venir")))</f>
        <v/>
      </c>
    </row>
    <row r="136">
      <c r="A136" s="9" t="inlineStr">
        <is>
          <t>EPL-2627-025</t>
        </is>
      </c>
      <c r="B136" s="9" t="inlineStr">
        <is>
          <t>Football</t>
        </is>
      </c>
      <c r="C136" s="9" t="inlineStr">
        <is>
          <t>Premier League</t>
        </is>
      </c>
      <c r="D136" s="9" t="inlineStr">
        <is>
          <t>2026-2027</t>
        </is>
      </c>
      <c r="E136" s="9" t="inlineStr">
        <is>
          <t>Saison régulière</t>
        </is>
      </c>
      <c r="F136" s="9" t="n">
        <v>25</v>
      </c>
      <c r="G136" s="9" t="inlineStr">
        <is>
          <t>Premier League – Journée 25</t>
        </is>
      </c>
      <c r="H136" s="10" t="n">
        <v>46428</v>
      </c>
      <c r="I136" s="10" t="n">
        <v>46428</v>
      </c>
      <c r="J136" s="11" t="n"/>
      <c r="K136" s="9" t="inlineStr">
        <is>
          <t>Europe/Paris</t>
        </is>
      </c>
      <c r="L136" s="9" t="n"/>
      <c r="M136" s="9" t="inlineStr">
        <is>
          <t>Angleterre</t>
        </is>
      </c>
      <c r="N136" s="9" t="inlineStr">
        <is>
          <t>Hommes</t>
        </is>
      </c>
      <c r="O136" s="9" t="inlineStr">
        <is>
          <t>Provisoire</t>
        </is>
      </c>
      <c r="P136" s="9" t="inlineStr">
        <is>
          <t>Oui</t>
        </is>
      </c>
      <c r="Q136" s="9" t="inlineStr">
        <is>
          <t>https://www.premierleague.com/en/news/4675097/all-380-fixtures-for-202627-premier-league-season</t>
        </is>
      </c>
      <c r="R136" s="10" t="n">
        <v>46311</v>
      </c>
      <c r="S136" s="9" t="inlineStr">
        <is>
          <t>Journée en semaine ; date nominale mercredi 10/02</t>
        </is>
      </c>
      <c r="T136" s="9">
        <f>IF(H136="","",IF(MAX(H136,I136)&lt;TODAY(),"Terminé",IF(H136&lt;=TODAY(),"En cours","À venir")))</f>
        <v/>
      </c>
    </row>
    <row r="137">
      <c r="A137" s="9" t="inlineStr">
        <is>
          <t>EPL-2627-026</t>
        </is>
      </c>
      <c r="B137" s="9" t="inlineStr">
        <is>
          <t>Football</t>
        </is>
      </c>
      <c r="C137" s="9" t="inlineStr">
        <is>
          <t>Premier League</t>
        </is>
      </c>
      <c r="D137" s="9" t="inlineStr">
        <is>
          <t>2026-2027</t>
        </is>
      </c>
      <c r="E137" s="9" t="inlineStr">
        <is>
          <t>Saison régulière</t>
        </is>
      </c>
      <c r="F137" s="9" t="n">
        <v>26</v>
      </c>
      <c r="G137" s="9" t="inlineStr">
        <is>
          <t>Premier League – Journée 26</t>
        </is>
      </c>
      <c r="H137" s="10" t="n">
        <v>46437</v>
      </c>
      <c r="I137" s="10" t="n">
        <v>46440</v>
      </c>
      <c r="J137" s="11" t="n"/>
      <c r="K137" s="9" t="inlineStr">
        <is>
          <t>Europe/Paris</t>
        </is>
      </c>
      <c r="L137" s="9" t="n"/>
      <c r="M137" s="9" t="inlineStr">
        <is>
          <t>Angleterre</t>
        </is>
      </c>
      <c r="N137" s="9" t="inlineStr">
        <is>
          <t>Hommes</t>
        </is>
      </c>
      <c r="O137" s="9" t="inlineStr">
        <is>
          <t>Provisoire</t>
        </is>
      </c>
      <c r="P137" s="9" t="inlineStr">
        <is>
          <t>Oui</t>
        </is>
      </c>
      <c r="Q137" s="9" t="inlineStr">
        <is>
          <t>https://www.arsenal.com/news/arsenals-202627-premier-league-fixture-list-aONqx5R7tK9m</t>
        </is>
      </c>
      <c r="R137" s="10" t="n">
        <v>46311</v>
      </c>
      <c r="S137" s="9" t="inlineStr">
        <is>
          <t>Date nominale samedi 20/02 ; fenêtre ven.–lun. ; programmation TV non publiée</t>
        </is>
      </c>
      <c r="T137" s="9">
        <f>IF(H137="","",IF(MAX(H137,I137)&lt;TODAY(),"Terminé",IF(H137&lt;=TODAY(),"En cours","À venir")))</f>
        <v/>
      </c>
    </row>
    <row r="138">
      <c r="A138" s="9" t="inlineStr">
        <is>
          <t>EPL-2627-027</t>
        </is>
      </c>
      <c r="B138" s="9" t="inlineStr">
        <is>
          <t>Football</t>
        </is>
      </c>
      <c r="C138" s="9" t="inlineStr">
        <is>
          <t>Premier League</t>
        </is>
      </c>
      <c r="D138" s="9" t="inlineStr">
        <is>
          <t>2026-2027</t>
        </is>
      </c>
      <c r="E138" s="9" t="inlineStr">
        <is>
          <t>Saison régulière</t>
        </is>
      </c>
      <c r="F138" s="9" t="n">
        <v>27</v>
      </c>
      <c r="G138" s="9" t="inlineStr">
        <is>
          <t>Premier League – Journée 27</t>
        </is>
      </c>
      <c r="H138" s="10" t="n">
        <v>46444</v>
      </c>
      <c r="I138" s="10" t="n">
        <v>46447</v>
      </c>
      <c r="J138" s="11" t="n"/>
      <c r="K138" s="9" t="inlineStr">
        <is>
          <t>Europe/Paris</t>
        </is>
      </c>
      <c r="L138" s="9" t="n"/>
      <c r="M138" s="9" t="inlineStr">
        <is>
          <t>Angleterre</t>
        </is>
      </c>
      <c r="N138" s="9" t="inlineStr">
        <is>
          <t>Hommes</t>
        </is>
      </c>
      <c r="O138" s="9" t="inlineStr">
        <is>
          <t>Provisoire</t>
        </is>
      </c>
      <c r="P138" s="9" t="inlineStr">
        <is>
          <t>Oui</t>
        </is>
      </c>
      <c r="Q138" s="9" t="inlineStr">
        <is>
          <t>https://www.arsenal.com/news/arsenals-202627-premier-league-fixture-list-aONqx5R7tK9m</t>
        </is>
      </c>
      <c r="R138" s="10" t="n">
        <v>46311</v>
      </c>
      <c r="S138" s="9" t="inlineStr">
        <is>
          <t>Date nominale samedi 27/02 ; fenêtre ven.–lun. ; programmation TV non publiée</t>
        </is>
      </c>
      <c r="T138" s="9">
        <f>IF(H138="","",IF(MAX(H138,I138)&lt;TODAY(),"Terminé",IF(H138&lt;=TODAY(),"En cours","À venir")))</f>
        <v/>
      </c>
    </row>
    <row r="139">
      <c r="A139" s="9" t="inlineStr">
        <is>
          <t>EPL-2627-028</t>
        </is>
      </c>
      <c r="B139" s="9" t="inlineStr">
        <is>
          <t>Football</t>
        </is>
      </c>
      <c r="C139" s="9" t="inlineStr">
        <is>
          <t>Premier League</t>
        </is>
      </c>
      <c r="D139" s="9" t="inlineStr">
        <is>
          <t>2026-2027</t>
        </is>
      </c>
      <c r="E139" s="9" t="inlineStr">
        <is>
          <t>Saison régulière</t>
        </is>
      </c>
      <c r="F139" s="9" t="n">
        <v>28</v>
      </c>
      <c r="G139" s="9" t="inlineStr">
        <is>
          <t>Premier League – Journée 28</t>
        </is>
      </c>
      <c r="H139" s="10" t="n">
        <v>46449</v>
      </c>
      <c r="I139" s="10" t="n">
        <v>46449</v>
      </c>
      <c r="J139" s="11" t="n"/>
      <c r="K139" s="9" t="inlineStr">
        <is>
          <t>Europe/Paris</t>
        </is>
      </c>
      <c r="L139" s="9" t="n"/>
      <c r="M139" s="9" t="inlineStr">
        <is>
          <t>Angleterre</t>
        </is>
      </c>
      <c r="N139" s="9" t="inlineStr">
        <is>
          <t>Hommes</t>
        </is>
      </c>
      <c r="O139" s="9" t="inlineStr">
        <is>
          <t>Provisoire</t>
        </is>
      </c>
      <c r="P139" s="9" t="inlineStr">
        <is>
          <t>Oui</t>
        </is>
      </c>
      <c r="Q139" s="9" t="inlineStr">
        <is>
          <t>https://www.premierleague.com/en/news/4675097/all-380-fixtures-for-202627-premier-league-season</t>
        </is>
      </c>
      <c r="R139" s="10" t="n">
        <v>46311</v>
      </c>
      <c r="S139" s="9" t="inlineStr">
        <is>
          <t>Journée en semaine ; date nominale mercredi 03/03</t>
        </is>
      </c>
      <c r="T139" s="9">
        <f>IF(H139="","",IF(MAX(H139,I139)&lt;TODAY(),"Terminé",IF(H139&lt;=TODAY(),"En cours","À venir")))</f>
        <v/>
      </c>
    </row>
    <row r="140">
      <c r="A140" s="9" t="inlineStr">
        <is>
          <t>EPL-2627-029</t>
        </is>
      </c>
      <c r="B140" s="9" t="inlineStr">
        <is>
          <t>Football</t>
        </is>
      </c>
      <c r="C140" s="9" t="inlineStr">
        <is>
          <t>Premier League</t>
        </is>
      </c>
      <c r="D140" s="9" t="inlineStr">
        <is>
          <t>2026-2027</t>
        </is>
      </c>
      <c r="E140" s="9" t="inlineStr">
        <is>
          <t>Saison régulière</t>
        </is>
      </c>
      <c r="F140" s="9" t="n">
        <v>29</v>
      </c>
      <c r="G140" s="9" t="inlineStr">
        <is>
          <t>Premier League – Journée 29</t>
        </is>
      </c>
      <c r="H140" s="10" t="n">
        <v>46458</v>
      </c>
      <c r="I140" s="10" t="n">
        <v>46461</v>
      </c>
      <c r="J140" s="11" t="n"/>
      <c r="K140" s="9" t="inlineStr">
        <is>
          <t>Europe/Paris</t>
        </is>
      </c>
      <c r="L140" s="9" t="n"/>
      <c r="M140" s="9" t="inlineStr">
        <is>
          <t>Angleterre</t>
        </is>
      </c>
      <c r="N140" s="9" t="inlineStr">
        <is>
          <t>Hommes</t>
        </is>
      </c>
      <c r="O140" s="9" t="inlineStr">
        <is>
          <t>Provisoire</t>
        </is>
      </c>
      <c r="P140" s="9" t="inlineStr">
        <is>
          <t>Oui</t>
        </is>
      </c>
      <c r="Q140" s="9" t="inlineStr">
        <is>
          <t>https://www.arsenal.com/news/arsenals-202627-premier-league-fixture-list-aONqx5R7tK9m</t>
        </is>
      </c>
      <c r="R140" s="10" t="n">
        <v>46311</v>
      </c>
      <c r="S140" s="9" t="inlineStr">
        <is>
          <t>Date nominale samedi 13/03 ; fenêtre ven.–lun. ; programmation TV non publiée</t>
        </is>
      </c>
      <c r="T140" s="9">
        <f>IF(H140="","",IF(MAX(H140,I140)&lt;TODAY(),"Terminé",IF(H140&lt;=TODAY(),"En cours","À venir")))</f>
        <v/>
      </c>
    </row>
    <row r="141">
      <c r="A141" s="9" t="inlineStr">
        <is>
          <t>EPL-2627-030</t>
        </is>
      </c>
      <c r="B141" s="9" t="inlineStr">
        <is>
          <t>Football</t>
        </is>
      </c>
      <c r="C141" s="9" t="inlineStr">
        <is>
          <t>Premier League</t>
        </is>
      </c>
      <c r="D141" s="9" t="inlineStr">
        <is>
          <t>2026-2027</t>
        </is>
      </c>
      <c r="E141" s="9" t="inlineStr">
        <is>
          <t>Saison régulière</t>
        </is>
      </c>
      <c r="F141" s="9" t="n">
        <v>30</v>
      </c>
      <c r="G141" s="9" t="inlineStr">
        <is>
          <t>Premier League – Journée 30</t>
        </is>
      </c>
      <c r="H141" s="10" t="n">
        <v>46465</v>
      </c>
      <c r="I141" s="10" t="n">
        <v>46467</v>
      </c>
      <c r="J141" s="11" t="n"/>
      <c r="K141" s="9" t="inlineStr">
        <is>
          <t>Europe/Paris</t>
        </is>
      </c>
      <c r="L141" s="9" t="n"/>
      <c r="M141" s="9" t="inlineStr">
        <is>
          <t>Angleterre</t>
        </is>
      </c>
      <c r="N141" s="9" t="inlineStr">
        <is>
          <t>Hommes</t>
        </is>
      </c>
      <c r="O141" s="9" t="inlineStr">
        <is>
          <t>Provisoire</t>
        </is>
      </c>
      <c r="P141" s="9" t="inlineStr">
        <is>
          <t>Oui</t>
        </is>
      </c>
      <c r="Q141" s="9" t="inlineStr">
        <is>
          <t>https://www.arsenal.com/news/arsenals-202627-premier-league-fixture-list-aONqx5R7tK9m</t>
        </is>
      </c>
      <c r="R141" s="10" t="n">
        <v>46311</v>
      </c>
      <c r="S141" s="9" t="inlineStr">
        <is>
          <t>Date nominale samedi 20/03 ; fenêtre ven.–dim. (trêve internationale dès le 22/03) ; programmation TV non publiée</t>
        </is>
      </c>
      <c r="T141" s="9">
        <f>IF(H141="","",IF(MAX(H141,I141)&lt;TODAY(),"Terminé",IF(H141&lt;=TODAY(),"En cours","À venir")))</f>
        <v/>
      </c>
    </row>
    <row r="142">
      <c r="A142" s="9" t="inlineStr">
        <is>
          <t>EPL-2627-031</t>
        </is>
      </c>
      <c r="B142" s="9" t="inlineStr">
        <is>
          <t>Football</t>
        </is>
      </c>
      <c r="C142" s="9" t="inlineStr">
        <is>
          <t>Premier League</t>
        </is>
      </c>
      <c r="D142" s="9" t="inlineStr">
        <is>
          <t>2026-2027</t>
        </is>
      </c>
      <c r="E142" s="9" t="inlineStr">
        <is>
          <t>Saison régulière</t>
        </is>
      </c>
      <c r="F142" s="9" t="n">
        <v>31</v>
      </c>
      <c r="G142" s="9" t="inlineStr">
        <is>
          <t>Premier League – Journée 31</t>
        </is>
      </c>
      <c r="H142" s="10" t="n">
        <v>46486</v>
      </c>
      <c r="I142" s="10" t="n">
        <v>46489</v>
      </c>
      <c r="J142" s="11" t="n"/>
      <c r="K142" s="9" t="inlineStr">
        <is>
          <t>Europe/Paris</t>
        </is>
      </c>
      <c r="L142" s="9" t="n"/>
      <c r="M142" s="9" t="inlineStr">
        <is>
          <t>Angleterre</t>
        </is>
      </c>
      <c r="N142" s="9" t="inlineStr">
        <is>
          <t>Hommes</t>
        </is>
      </c>
      <c r="O142" s="9" t="inlineStr">
        <is>
          <t>Provisoire</t>
        </is>
      </c>
      <c r="P142" s="9" t="inlineStr">
        <is>
          <t>Oui</t>
        </is>
      </c>
      <c r="Q142" s="9" t="inlineStr">
        <is>
          <t>https://www.arsenal.com/news/arsenals-202627-premier-league-fixture-list-aONqx5R7tK9m</t>
        </is>
      </c>
      <c r="R142" s="10" t="n">
        <v>46311</v>
      </c>
      <c r="S142" s="9" t="inlineStr">
        <is>
          <t>Date nominale samedi 10/04 ; fenêtre ven.–lun. ; programmation TV non publiée</t>
        </is>
      </c>
      <c r="T142" s="9">
        <f>IF(H142="","",IF(MAX(H142,I142)&lt;TODAY(),"Terminé",IF(H142&lt;=TODAY(),"En cours","À venir")))</f>
        <v/>
      </c>
    </row>
    <row r="143">
      <c r="A143" s="9" t="inlineStr">
        <is>
          <t>EPL-2627-032</t>
        </is>
      </c>
      <c r="B143" s="9" t="inlineStr">
        <is>
          <t>Football</t>
        </is>
      </c>
      <c r="C143" s="9" t="inlineStr">
        <is>
          <t>Premier League</t>
        </is>
      </c>
      <c r="D143" s="9" t="inlineStr">
        <is>
          <t>2026-2027</t>
        </is>
      </c>
      <c r="E143" s="9" t="inlineStr">
        <is>
          <t>Saison régulière</t>
        </is>
      </c>
      <c r="F143" s="9" t="n">
        <v>32</v>
      </c>
      <c r="G143" s="9" t="inlineStr">
        <is>
          <t>Premier League – Journée 32</t>
        </is>
      </c>
      <c r="H143" s="10" t="n">
        <v>46493</v>
      </c>
      <c r="I143" s="10" t="n">
        <v>46496</v>
      </c>
      <c r="J143" s="11" t="n"/>
      <c r="K143" s="9" t="inlineStr">
        <is>
          <t>Europe/Paris</t>
        </is>
      </c>
      <c r="L143" s="9" t="n"/>
      <c r="M143" s="9" t="inlineStr">
        <is>
          <t>Angleterre</t>
        </is>
      </c>
      <c r="N143" s="9" t="inlineStr">
        <is>
          <t>Hommes</t>
        </is>
      </c>
      <c r="O143" s="9" t="inlineStr">
        <is>
          <t>Provisoire</t>
        </is>
      </c>
      <c r="P143" s="9" t="inlineStr">
        <is>
          <t>Oui</t>
        </is>
      </c>
      <c r="Q143" s="9" t="inlineStr">
        <is>
          <t>https://www.arsenal.com/news/arsenals-202627-premier-league-fixture-list-aONqx5R7tK9m</t>
        </is>
      </c>
      <c r="R143" s="10" t="n">
        <v>46311</v>
      </c>
      <c r="S143" s="9" t="inlineStr">
        <is>
          <t>Date nominale samedi 17/04 ; fenêtre ven.–lun. ; programmation TV non publiée</t>
        </is>
      </c>
      <c r="T143" s="9">
        <f>IF(H143="","",IF(MAX(H143,I143)&lt;TODAY(),"Terminé",IF(H143&lt;=TODAY(),"En cours","À venir")))</f>
        <v/>
      </c>
    </row>
    <row r="144">
      <c r="A144" s="9" t="inlineStr">
        <is>
          <t>EPL-2627-033</t>
        </is>
      </c>
      <c r="B144" s="9" t="inlineStr">
        <is>
          <t>Football</t>
        </is>
      </c>
      <c r="C144" s="9" t="inlineStr">
        <is>
          <t>Premier League</t>
        </is>
      </c>
      <c r="D144" s="9" t="inlineStr">
        <is>
          <t>2026-2027</t>
        </is>
      </c>
      <c r="E144" s="9" t="inlineStr">
        <is>
          <t>Saison régulière</t>
        </is>
      </c>
      <c r="F144" s="9" t="n">
        <v>33</v>
      </c>
      <c r="G144" s="9" t="inlineStr">
        <is>
          <t>Premier League – Journée 33</t>
        </is>
      </c>
      <c r="H144" s="10" t="n">
        <v>46500</v>
      </c>
      <c r="I144" s="10" t="n">
        <v>46503</v>
      </c>
      <c r="J144" s="11" t="n"/>
      <c r="K144" s="9" t="inlineStr">
        <is>
          <t>Europe/Paris</t>
        </is>
      </c>
      <c r="L144" s="9" t="n"/>
      <c r="M144" s="9" t="inlineStr">
        <is>
          <t>Angleterre</t>
        </is>
      </c>
      <c r="N144" s="9" t="inlineStr">
        <is>
          <t>Hommes</t>
        </is>
      </c>
      <c r="O144" s="9" t="inlineStr">
        <is>
          <t>Provisoire</t>
        </is>
      </c>
      <c r="P144" s="9" t="inlineStr">
        <is>
          <t>Oui</t>
        </is>
      </c>
      <c r="Q144" s="9" t="inlineStr">
        <is>
          <t>https://www.arsenal.com/news/arsenals-202627-premier-league-fixture-list-aONqx5R7tK9m</t>
        </is>
      </c>
      <c r="R144" s="10" t="n">
        <v>46311</v>
      </c>
      <c r="S144" s="9" t="inlineStr">
        <is>
          <t>Date nominale samedi 24/04 ; fenêtre ven.–lun. ; programmation TV non publiée</t>
        </is>
      </c>
      <c r="T144" s="9">
        <f>IF(H144="","",IF(MAX(H144,I144)&lt;TODAY(),"Terminé",IF(H144&lt;=TODAY(),"En cours","À venir")))</f>
        <v/>
      </c>
    </row>
    <row r="145">
      <c r="A145" s="9" t="inlineStr">
        <is>
          <t>EPL-2627-034</t>
        </is>
      </c>
      <c r="B145" s="9" t="inlineStr">
        <is>
          <t>Football</t>
        </is>
      </c>
      <c r="C145" s="9" t="inlineStr">
        <is>
          <t>Premier League</t>
        </is>
      </c>
      <c r="D145" s="9" t="inlineStr">
        <is>
          <t>2026-2027</t>
        </is>
      </c>
      <c r="E145" s="9" t="inlineStr">
        <is>
          <t>Saison régulière</t>
        </is>
      </c>
      <c r="F145" s="9" t="n">
        <v>34</v>
      </c>
      <c r="G145" s="9" t="inlineStr">
        <is>
          <t>Premier League – Journée 34</t>
        </is>
      </c>
      <c r="H145" s="10" t="n">
        <v>46507</v>
      </c>
      <c r="I145" s="10" t="n">
        <v>46510</v>
      </c>
      <c r="J145" s="11" t="n"/>
      <c r="K145" s="9" t="inlineStr">
        <is>
          <t>Europe/Paris</t>
        </is>
      </c>
      <c r="L145" s="9" t="n"/>
      <c r="M145" s="9" t="inlineStr">
        <is>
          <t>Angleterre</t>
        </is>
      </c>
      <c r="N145" s="9" t="inlineStr">
        <is>
          <t>Hommes</t>
        </is>
      </c>
      <c r="O145" s="9" t="inlineStr">
        <is>
          <t>Provisoire</t>
        </is>
      </c>
      <c r="P145" s="9" t="inlineStr">
        <is>
          <t>Oui</t>
        </is>
      </c>
      <c r="Q145" s="9" t="inlineStr">
        <is>
          <t>https://www.arsenal.com/news/arsenals-202627-premier-league-fixture-list-aONqx5R7tK9m</t>
        </is>
      </c>
      <c r="R145" s="10" t="n">
        <v>46311</v>
      </c>
      <c r="S145" s="9" t="inlineStr">
        <is>
          <t>Date nominale samedi 01/05 ; fenêtre ven.–lun. ; programmation TV non publiée</t>
        </is>
      </c>
      <c r="T145" s="9">
        <f>IF(H145="","",IF(MAX(H145,I145)&lt;TODAY(),"Terminé",IF(H145&lt;=TODAY(),"En cours","À venir")))</f>
        <v/>
      </c>
    </row>
    <row r="146">
      <c r="A146" s="9" t="inlineStr">
        <is>
          <t>EPL-2627-035</t>
        </is>
      </c>
      <c r="B146" s="9" t="inlineStr">
        <is>
          <t>Football</t>
        </is>
      </c>
      <c r="C146" s="9" t="inlineStr">
        <is>
          <t>Premier League</t>
        </is>
      </c>
      <c r="D146" s="9" t="inlineStr">
        <is>
          <t>2026-2027</t>
        </is>
      </c>
      <c r="E146" s="9" t="inlineStr">
        <is>
          <t>Saison régulière</t>
        </is>
      </c>
      <c r="F146" s="9" t="n">
        <v>35</v>
      </c>
      <c r="G146" s="9" t="inlineStr">
        <is>
          <t>Premier League – Journée 35</t>
        </is>
      </c>
      <c r="H146" s="10" t="n">
        <v>46514</v>
      </c>
      <c r="I146" s="10" t="n">
        <v>46517</v>
      </c>
      <c r="J146" s="11" t="n"/>
      <c r="K146" s="9" t="inlineStr">
        <is>
          <t>Europe/Paris</t>
        </is>
      </c>
      <c r="L146" s="9" t="n"/>
      <c r="M146" s="9" t="inlineStr">
        <is>
          <t>Angleterre</t>
        </is>
      </c>
      <c r="N146" s="9" t="inlineStr">
        <is>
          <t>Hommes</t>
        </is>
      </c>
      <c r="O146" s="9" t="inlineStr">
        <is>
          <t>Provisoire</t>
        </is>
      </c>
      <c r="P146" s="9" t="inlineStr">
        <is>
          <t>Oui</t>
        </is>
      </c>
      <c r="Q146" s="9" t="inlineStr">
        <is>
          <t>https://www.arsenal.com/news/arsenals-202627-premier-league-fixture-list-aONqx5R7tK9m</t>
        </is>
      </c>
      <c r="R146" s="10" t="n">
        <v>46311</v>
      </c>
      <c r="S146" s="9" t="inlineStr">
        <is>
          <t>Date nominale samedi 08/05 ; fenêtre ven.–lun. ; programmation TV non publiée</t>
        </is>
      </c>
      <c r="T146" s="9">
        <f>IF(H146="","",IF(MAX(H146,I146)&lt;TODAY(),"Terminé",IF(H146&lt;=TODAY(),"En cours","À venir")))</f>
        <v/>
      </c>
    </row>
    <row r="147">
      <c r="A147" s="9" t="inlineStr">
        <is>
          <t>EPL-2627-036</t>
        </is>
      </c>
      <c r="B147" s="9" t="inlineStr">
        <is>
          <t>Football</t>
        </is>
      </c>
      <c r="C147" s="9" t="inlineStr">
        <is>
          <t>Premier League</t>
        </is>
      </c>
      <c r="D147" s="9" t="inlineStr">
        <is>
          <t>2026-2027</t>
        </is>
      </c>
      <c r="E147" s="9" t="inlineStr">
        <is>
          <t>Saison régulière</t>
        </is>
      </c>
      <c r="F147" s="9" t="n">
        <v>36</v>
      </c>
      <c r="G147" s="9" t="inlineStr">
        <is>
          <t>Premier League – Journée 36</t>
        </is>
      </c>
      <c r="H147" s="10" t="n">
        <v>46521</v>
      </c>
      <c r="I147" s="10" t="n">
        <v>46524</v>
      </c>
      <c r="J147" s="11" t="n"/>
      <c r="K147" s="9" t="inlineStr">
        <is>
          <t>Europe/Paris</t>
        </is>
      </c>
      <c r="L147" s="9" t="n"/>
      <c r="M147" s="9" t="inlineStr">
        <is>
          <t>Angleterre</t>
        </is>
      </c>
      <c r="N147" s="9" t="inlineStr">
        <is>
          <t>Hommes</t>
        </is>
      </c>
      <c r="O147" s="9" t="inlineStr">
        <is>
          <t>Provisoire</t>
        </is>
      </c>
      <c r="P147" s="9" t="inlineStr">
        <is>
          <t>Oui</t>
        </is>
      </c>
      <c r="Q147" s="9" t="inlineStr">
        <is>
          <t>https://www.arsenal.com/news/arsenals-202627-premier-league-fixture-list-aONqx5R7tK9m</t>
        </is>
      </c>
      <c r="R147" s="10" t="n">
        <v>46311</v>
      </c>
      <c r="S147" s="9" t="inlineStr">
        <is>
          <t>Date nominale samedi 15/05 ; fenêtre ven.–lun. ; programmation TV non publiée</t>
        </is>
      </c>
      <c r="T147" s="9">
        <f>IF(H147="","",IF(MAX(H147,I147)&lt;TODAY(),"Terminé",IF(H147&lt;=TODAY(),"En cours","À venir")))</f>
        <v/>
      </c>
    </row>
    <row r="148">
      <c r="A148" s="9" t="inlineStr">
        <is>
          <t>EPL-2627-037</t>
        </is>
      </c>
      <c r="B148" s="9" t="inlineStr">
        <is>
          <t>Football</t>
        </is>
      </c>
      <c r="C148" s="9" t="inlineStr">
        <is>
          <t>Premier League</t>
        </is>
      </c>
      <c r="D148" s="9" t="inlineStr">
        <is>
          <t>2026-2027</t>
        </is>
      </c>
      <c r="E148" s="9" t="inlineStr">
        <is>
          <t>Saison régulière</t>
        </is>
      </c>
      <c r="F148" s="9" t="n">
        <v>37</v>
      </c>
      <c r="G148" s="9" t="inlineStr">
        <is>
          <t>Premier League – Journée 37</t>
        </is>
      </c>
      <c r="H148" s="10" t="n">
        <v>46530</v>
      </c>
      <c r="I148" s="10" t="n">
        <v>46530</v>
      </c>
      <c r="J148" s="11" t="n"/>
      <c r="K148" s="9" t="inlineStr">
        <is>
          <t>Europe/Paris</t>
        </is>
      </c>
      <c r="L148" s="9" t="n"/>
      <c r="M148" s="9" t="inlineStr">
        <is>
          <t>Angleterre</t>
        </is>
      </c>
      <c r="N148" s="9" t="inlineStr">
        <is>
          <t>Hommes</t>
        </is>
      </c>
      <c r="O148" s="9" t="inlineStr">
        <is>
          <t>Provisoire</t>
        </is>
      </c>
      <c r="P148" s="9" t="inlineStr">
        <is>
          <t>Oui</t>
        </is>
      </c>
      <c r="Q148" s="9" t="inlineStr">
        <is>
          <t>https://www.premierleague.com/en/news/4675097/all-380-fixtures-for-202627-premier-league-season</t>
        </is>
      </c>
      <c r="R148" s="10" t="n">
        <v>46311</v>
      </c>
      <c r="S148" s="9" t="inlineStr">
        <is>
          <t>Date nominale dimanche 23/05 ; programmation TV non publiée</t>
        </is>
      </c>
      <c r="T148" s="9">
        <f>IF(H148="","",IF(MAX(H148,I148)&lt;TODAY(),"Terminé",IF(H148&lt;=TODAY(),"En cours","À venir")))</f>
        <v/>
      </c>
    </row>
    <row r="149">
      <c r="A149" s="9" t="inlineStr">
        <is>
          <t>EPL-2627-038</t>
        </is>
      </c>
      <c r="B149" s="9" t="inlineStr">
        <is>
          <t>Football</t>
        </is>
      </c>
      <c r="C149" s="9" t="inlineStr">
        <is>
          <t>Premier League</t>
        </is>
      </c>
      <c r="D149" s="9" t="inlineStr">
        <is>
          <t>2026-2027</t>
        </is>
      </c>
      <c r="E149" s="9" t="inlineStr">
        <is>
          <t>Saison régulière</t>
        </is>
      </c>
      <c r="F149" s="9" t="n">
        <v>38</v>
      </c>
      <c r="G149" s="9" t="inlineStr">
        <is>
          <t>Premier League – Journée 38</t>
        </is>
      </c>
      <c r="H149" s="10" t="n">
        <v>46537</v>
      </c>
      <c r="I149" s="10" t="n">
        <v>46537</v>
      </c>
      <c r="J149" s="11" t="inlineStr">
        <is>
          <t>17:00</t>
        </is>
      </c>
      <c r="K149" s="9" t="inlineStr">
        <is>
          <t>Europe/Paris</t>
        </is>
      </c>
      <c r="L149" s="9" t="n"/>
      <c r="M149" s="9" t="inlineStr">
        <is>
          <t>Angleterre</t>
        </is>
      </c>
      <c r="N149" s="9" t="inlineStr">
        <is>
          <t>Hommes</t>
        </is>
      </c>
      <c r="O149" s="9" t="inlineStr">
        <is>
          <t>Officiel</t>
        </is>
      </c>
      <c r="P149" s="9" t="inlineStr">
        <is>
          <t>Oui</t>
        </is>
      </c>
      <c r="Q149" s="9" t="inlineStr">
        <is>
          <t>https://www.premierleague.com/en/news/4675508/premier-league-fixture-schedulereleased-for-season-202627</t>
        </is>
      </c>
      <c r="R149" s="10" t="n">
        <v>46311</v>
      </c>
      <c r="S149" s="9" t="inlineStr">
        <is>
          <t>Dernière journée, tous les matchs à 16h00 (heure UK)</t>
        </is>
      </c>
      <c r="T149" s="9">
        <f>IF(H149="","",IF(MAX(H149,I149)&lt;TODAY(),"Terminé",IF(H149&lt;=TODAY(),"En cours","À venir")))</f>
        <v/>
      </c>
    </row>
    <row r="150">
      <c r="A150" s="9" t="inlineStr">
        <is>
          <t>UCL-2627-001</t>
        </is>
      </c>
      <c r="B150" s="9" t="inlineStr">
        <is>
          <t>Football</t>
        </is>
      </c>
      <c r="C150" s="9" t="inlineStr">
        <is>
          <t>UEFA Champions League</t>
        </is>
      </c>
      <c r="D150" s="9" t="inlineStr">
        <is>
          <t>2026-2027</t>
        </is>
      </c>
      <c r="E150" s="9" t="inlineStr">
        <is>
          <t>Phase de ligue</t>
        </is>
      </c>
      <c r="F150" s="9" t="n">
        <v>1</v>
      </c>
      <c r="G150" s="9" t="inlineStr">
        <is>
          <t>Ligue des champions – Journée 1</t>
        </is>
      </c>
      <c r="H150" s="10" t="n">
        <v>46273</v>
      </c>
      <c r="I150" s="10" t="n">
        <v>46275</v>
      </c>
      <c r="J150" s="11" t="n"/>
      <c r="K150" s="9" t="inlineStr">
        <is>
          <t>Europe/Paris</t>
        </is>
      </c>
      <c r="L150" s="9" t="n"/>
      <c r="M150" s="9" t="inlineStr">
        <is>
          <t>Europe</t>
        </is>
      </c>
      <c r="N150" s="9" t="inlineStr">
        <is>
          <t>Hommes</t>
        </is>
      </c>
      <c r="O150" s="9" t="inlineStr">
        <is>
          <t>Officiel</t>
        </is>
      </c>
      <c r="P150" s="9" t="inlineStr">
        <is>
          <t>Oui</t>
        </is>
      </c>
      <c r="Q150" s="9" t="inlineStr">
        <is>
          <t>https://www.uefa.com/uefachampionsleague/news/02a6-20d57cfcd03e-407c22a7f465-1000--2026-27-champions-league-teams-dates-draws-format-final/</t>
        </is>
      </c>
      <c r="R150" s="10" t="n">
        <v>46311</v>
      </c>
      <c r="S150" s="9" t="inlineStr">
        <is>
          <t>Journée sur 3 jours (mar.–jeu.)</t>
        </is>
      </c>
      <c r="T150" s="9">
        <f>IF(H150="","",IF(MAX(H150,I150)&lt;TODAY(),"Terminé",IF(H150&lt;=TODAY(),"En cours","À venir")))</f>
        <v/>
      </c>
    </row>
    <row r="151">
      <c r="A151" s="9" t="inlineStr">
        <is>
          <t>UCL-2627-002</t>
        </is>
      </c>
      <c r="B151" s="9" t="inlineStr">
        <is>
          <t>Football</t>
        </is>
      </c>
      <c r="C151" s="9" t="inlineStr">
        <is>
          <t>UEFA Champions League</t>
        </is>
      </c>
      <c r="D151" s="9" t="inlineStr">
        <is>
          <t>2026-2027</t>
        </is>
      </c>
      <c r="E151" s="9" t="inlineStr">
        <is>
          <t>Phase de ligue</t>
        </is>
      </c>
      <c r="F151" s="9" t="n">
        <v>2</v>
      </c>
      <c r="G151" s="9" t="inlineStr">
        <is>
          <t>Ligue des champions – Journée 2</t>
        </is>
      </c>
      <c r="H151" s="10" t="n">
        <v>46308</v>
      </c>
      <c r="I151" s="10" t="n">
        <v>46309</v>
      </c>
      <c r="J151" s="11" t="n"/>
      <c r="K151" s="9" t="inlineStr">
        <is>
          <t>Europe/Paris</t>
        </is>
      </c>
      <c r="L151" s="9" t="n"/>
      <c r="M151" s="9" t="inlineStr">
        <is>
          <t>Europe</t>
        </is>
      </c>
      <c r="N151" s="9" t="inlineStr">
        <is>
          <t>Hommes</t>
        </is>
      </c>
      <c r="O151" s="9" t="inlineStr">
        <is>
          <t>Officiel</t>
        </is>
      </c>
      <c r="P151" s="9" t="inlineStr">
        <is>
          <t>Oui</t>
        </is>
      </c>
      <c r="Q151" s="9" t="inlineStr">
        <is>
          <t>https://www.uefa.com/uefachampionsleague/news/02a6-20d57cfcd03e-407c22a7f465-1000--2026-27-champions-league-teams-dates-draws-format-final/</t>
        </is>
      </c>
      <c r="R151" s="10" t="n">
        <v>46311</v>
      </c>
      <c r="S151" s="9" t="inlineStr">
        <is>
          <t>Journée disputée</t>
        </is>
      </c>
      <c r="T151" s="9">
        <f>IF(H151="","",IF(MAX(H151,I151)&lt;TODAY(),"Terminé",IF(H151&lt;=TODAY(),"En cours","À venir")))</f>
        <v/>
      </c>
    </row>
    <row r="152">
      <c r="A152" s="9" t="inlineStr">
        <is>
          <t>UCL-2627-003</t>
        </is>
      </c>
      <c r="B152" s="9" t="inlineStr">
        <is>
          <t>Football</t>
        </is>
      </c>
      <c r="C152" s="9" t="inlineStr">
        <is>
          <t>UEFA Champions League</t>
        </is>
      </c>
      <c r="D152" s="9" t="inlineStr">
        <is>
          <t>2026-2027</t>
        </is>
      </c>
      <c r="E152" s="9" t="inlineStr">
        <is>
          <t>Phase de ligue</t>
        </is>
      </c>
      <c r="F152" s="9" t="n">
        <v>3</v>
      </c>
      <c r="G152" s="9" t="inlineStr">
        <is>
          <t>Ligue des champions – Journée 3</t>
        </is>
      </c>
      <c r="H152" s="10" t="n">
        <v>46315</v>
      </c>
      <c r="I152" s="10" t="n">
        <v>46316</v>
      </c>
      <c r="J152" s="11" t="n"/>
      <c r="K152" s="9" t="inlineStr">
        <is>
          <t>Europe/Paris</t>
        </is>
      </c>
      <c r="L152" s="9" t="n"/>
      <c r="M152" s="9" t="inlineStr">
        <is>
          <t>Europe</t>
        </is>
      </c>
      <c r="N152" s="9" t="inlineStr">
        <is>
          <t>Hommes</t>
        </is>
      </c>
      <c r="O152" s="9" t="inlineStr">
        <is>
          <t>Officiel</t>
        </is>
      </c>
      <c r="P152" s="9" t="inlineStr">
        <is>
          <t>Oui</t>
        </is>
      </c>
      <c r="Q152" s="9" t="inlineStr">
        <is>
          <t>https://www.uefa.com/uefachampionsleague/news/02a6-20d57cfcd03e-407c22a7f465-1000--2026-27-champions-league-teams-dates-draws-format-final/</t>
        </is>
      </c>
      <c r="R152" s="10" t="n">
        <v>46311</v>
      </c>
      <c r="S152" s="9" t="n"/>
      <c r="T152" s="9">
        <f>IF(H152="","",IF(MAX(H152,I152)&lt;TODAY(),"Terminé",IF(H152&lt;=TODAY(),"En cours","À venir")))</f>
        <v/>
      </c>
    </row>
    <row r="153">
      <c r="A153" s="9" t="inlineStr">
        <is>
          <t>UCL-2627-004</t>
        </is>
      </c>
      <c r="B153" s="9" t="inlineStr">
        <is>
          <t>Football</t>
        </is>
      </c>
      <c r="C153" s="9" t="inlineStr">
        <is>
          <t>UEFA Champions League</t>
        </is>
      </c>
      <c r="D153" s="9" t="inlineStr">
        <is>
          <t>2026-2027</t>
        </is>
      </c>
      <c r="E153" s="9" t="inlineStr">
        <is>
          <t>Phase de ligue</t>
        </is>
      </c>
      <c r="F153" s="9" t="n">
        <v>4</v>
      </c>
      <c r="G153" s="9" t="inlineStr">
        <is>
          <t>Ligue des champions – Journée 4</t>
        </is>
      </c>
      <c r="H153" s="10" t="n">
        <v>46329</v>
      </c>
      <c r="I153" s="10" t="n">
        <v>46330</v>
      </c>
      <c r="J153" s="11" t="n"/>
      <c r="K153" s="9" t="inlineStr">
        <is>
          <t>Europe/Paris</t>
        </is>
      </c>
      <c r="L153" s="9" t="n"/>
      <c r="M153" s="9" t="inlineStr">
        <is>
          <t>Europe</t>
        </is>
      </c>
      <c r="N153" s="9" t="inlineStr">
        <is>
          <t>Hommes</t>
        </is>
      </c>
      <c r="O153" s="9" t="inlineStr">
        <is>
          <t>Officiel</t>
        </is>
      </c>
      <c r="P153" s="9" t="inlineStr">
        <is>
          <t>Oui</t>
        </is>
      </c>
      <c r="Q153" s="9" t="inlineStr">
        <is>
          <t>https://www.uefa.com/uefachampionsleague/news/02a6-20d57cfcd03e-407c22a7f465-1000--2026-27-champions-league-teams-dates-draws-format-final/</t>
        </is>
      </c>
      <c r="R153" s="10" t="n">
        <v>46311</v>
      </c>
      <c r="S153" s="9" t="n"/>
      <c r="T153" s="9">
        <f>IF(H153="","",IF(MAX(H153,I153)&lt;TODAY(),"Terminé",IF(H153&lt;=TODAY(),"En cours","À venir")))</f>
        <v/>
      </c>
    </row>
    <row r="154">
      <c r="A154" s="9" t="inlineStr">
        <is>
          <t>UCL-2627-005</t>
        </is>
      </c>
      <c r="B154" s="9" t="inlineStr">
        <is>
          <t>Football</t>
        </is>
      </c>
      <c r="C154" s="9" t="inlineStr">
        <is>
          <t>UEFA Champions League</t>
        </is>
      </c>
      <c r="D154" s="9" t="inlineStr">
        <is>
          <t>2026-2027</t>
        </is>
      </c>
      <c r="E154" s="9" t="inlineStr">
        <is>
          <t>Phase de ligue</t>
        </is>
      </c>
      <c r="F154" s="9" t="n">
        <v>5</v>
      </c>
      <c r="G154" s="9" t="inlineStr">
        <is>
          <t>Ligue des champions – Journée 5</t>
        </is>
      </c>
      <c r="H154" s="10" t="n">
        <v>46350</v>
      </c>
      <c r="I154" s="10" t="n">
        <v>46351</v>
      </c>
      <c r="J154" s="11" t="n"/>
      <c r="K154" s="9" t="inlineStr">
        <is>
          <t>Europe/Paris</t>
        </is>
      </c>
      <c r="L154" s="9" t="n"/>
      <c r="M154" s="9" t="inlineStr">
        <is>
          <t>Europe</t>
        </is>
      </c>
      <c r="N154" s="9" t="inlineStr">
        <is>
          <t>Hommes</t>
        </is>
      </c>
      <c r="O154" s="9" t="inlineStr">
        <is>
          <t>Officiel</t>
        </is>
      </c>
      <c r="P154" s="9" t="inlineStr">
        <is>
          <t>Oui</t>
        </is>
      </c>
      <c r="Q154" s="9" t="inlineStr">
        <is>
          <t>https://www.uefa.com/uefachampionsleague/news/02a6-20d57cfcd03e-407c22a7f465-1000--2026-27-champions-league-teams-dates-draws-format-final/</t>
        </is>
      </c>
      <c r="R154" s="10" t="n">
        <v>46311</v>
      </c>
      <c r="S154" s="9" t="n"/>
      <c r="T154" s="9">
        <f>IF(H154="","",IF(MAX(H154,I154)&lt;TODAY(),"Terminé",IF(H154&lt;=TODAY(),"En cours","À venir")))</f>
        <v/>
      </c>
    </row>
    <row r="155">
      <c r="A155" s="9" t="inlineStr">
        <is>
          <t>UCL-2627-006</t>
        </is>
      </c>
      <c r="B155" s="9" t="inlineStr">
        <is>
          <t>Football</t>
        </is>
      </c>
      <c r="C155" s="9" t="inlineStr">
        <is>
          <t>UEFA Champions League</t>
        </is>
      </c>
      <c r="D155" s="9" t="inlineStr">
        <is>
          <t>2026-2027</t>
        </is>
      </c>
      <c r="E155" s="9" t="inlineStr">
        <is>
          <t>Phase de ligue</t>
        </is>
      </c>
      <c r="F155" s="9" t="n">
        <v>6</v>
      </c>
      <c r="G155" s="9" t="inlineStr">
        <is>
          <t>Ligue des champions – Journée 6</t>
        </is>
      </c>
      <c r="H155" s="10" t="n">
        <v>46364</v>
      </c>
      <c r="I155" s="10" t="n">
        <v>46365</v>
      </c>
      <c r="J155" s="11" t="n"/>
      <c r="K155" s="9" t="inlineStr">
        <is>
          <t>Europe/Paris</t>
        </is>
      </c>
      <c r="L155" s="9" t="n"/>
      <c r="M155" s="9" t="inlineStr">
        <is>
          <t>Europe</t>
        </is>
      </c>
      <c r="N155" s="9" t="inlineStr">
        <is>
          <t>Hommes</t>
        </is>
      </c>
      <c r="O155" s="9" t="inlineStr">
        <is>
          <t>Officiel</t>
        </is>
      </c>
      <c r="P155" s="9" t="inlineStr">
        <is>
          <t>Oui</t>
        </is>
      </c>
      <c r="Q155" s="9" t="inlineStr">
        <is>
          <t>https://www.uefa.com/uefachampionsleague/news/02a6-20d57cfcd03e-407c22a7f465-1000--2026-27-champions-league-teams-dates-draws-format-final/</t>
        </is>
      </c>
      <c r="R155" s="10" t="n">
        <v>46311</v>
      </c>
      <c r="S155" s="9" t="n"/>
      <c r="T155" s="9">
        <f>IF(H155="","",IF(MAX(H155,I155)&lt;TODAY(),"Terminé",IF(H155&lt;=TODAY(),"En cours","À venir")))</f>
        <v/>
      </c>
    </row>
    <row r="156">
      <c r="A156" s="9" t="inlineStr">
        <is>
          <t>UCL-2627-007</t>
        </is>
      </c>
      <c r="B156" s="9" t="inlineStr">
        <is>
          <t>Football</t>
        </is>
      </c>
      <c r="C156" s="9" t="inlineStr">
        <is>
          <t>UEFA Champions League</t>
        </is>
      </c>
      <c r="D156" s="9" t="inlineStr">
        <is>
          <t>2026-2027</t>
        </is>
      </c>
      <c r="E156" s="9" t="inlineStr">
        <is>
          <t>Phase de ligue</t>
        </is>
      </c>
      <c r="F156" s="9" t="n">
        <v>7</v>
      </c>
      <c r="G156" s="9" t="inlineStr">
        <is>
          <t>Ligue des champions – Journée 7</t>
        </is>
      </c>
      <c r="H156" s="10" t="n">
        <v>46406</v>
      </c>
      <c r="I156" s="10" t="n">
        <v>46407</v>
      </c>
      <c r="J156" s="11" t="n"/>
      <c r="K156" s="9" t="inlineStr">
        <is>
          <t>Europe/Paris</t>
        </is>
      </c>
      <c r="L156" s="9" t="n"/>
      <c r="M156" s="9" t="inlineStr">
        <is>
          <t>Europe</t>
        </is>
      </c>
      <c r="N156" s="9" t="inlineStr">
        <is>
          <t>Hommes</t>
        </is>
      </c>
      <c r="O156" s="9" t="inlineStr">
        <is>
          <t>Officiel</t>
        </is>
      </c>
      <c r="P156" s="9" t="inlineStr">
        <is>
          <t>Oui</t>
        </is>
      </c>
      <c r="Q156" s="9" t="inlineStr">
        <is>
          <t>https://www.uefa.com/uefachampionsleague/news/02a6-20d57cfcd03e-407c22a7f465-1000--2026-27-champions-league-teams-dates-draws-format-final/</t>
        </is>
      </c>
      <c r="R156" s="10" t="n">
        <v>46311</v>
      </c>
      <c r="S156" s="9" t="n"/>
      <c r="T156" s="9">
        <f>IF(H156="","",IF(MAX(H156,I156)&lt;TODAY(),"Terminé",IF(H156&lt;=TODAY(),"En cours","À venir")))</f>
        <v/>
      </c>
    </row>
    <row r="157">
      <c r="A157" s="9" t="inlineStr">
        <is>
          <t>UCL-2627-008</t>
        </is>
      </c>
      <c r="B157" s="9" t="inlineStr">
        <is>
          <t>Football</t>
        </is>
      </c>
      <c r="C157" s="9" t="inlineStr">
        <is>
          <t>UEFA Champions League</t>
        </is>
      </c>
      <c r="D157" s="9" t="inlineStr">
        <is>
          <t>2026-2027</t>
        </is>
      </c>
      <c r="E157" s="9" t="inlineStr">
        <is>
          <t>Phase de ligue</t>
        </is>
      </c>
      <c r="F157" s="9" t="n">
        <v>8</v>
      </c>
      <c r="G157" s="9" t="inlineStr">
        <is>
          <t>Ligue des champions – Journée 8</t>
        </is>
      </c>
      <c r="H157" s="10" t="n">
        <v>46414</v>
      </c>
      <c r="I157" s="10" t="n">
        <v>46414</v>
      </c>
      <c r="J157" s="11" t="n"/>
      <c r="K157" s="9" t="inlineStr">
        <is>
          <t>Europe/Paris</t>
        </is>
      </c>
      <c r="L157" s="9" t="n"/>
      <c r="M157" s="9" t="inlineStr">
        <is>
          <t>Europe</t>
        </is>
      </c>
      <c r="N157" s="9" t="inlineStr">
        <is>
          <t>Hommes</t>
        </is>
      </c>
      <c r="O157" s="9" t="inlineStr">
        <is>
          <t>Officiel</t>
        </is>
      </c>
      <c r="P157" s="9" t="inlineStr">
        <is>
          <t>Oui</t>
        </is>
      </c>
      <c r="Q157" s="9" t="inlineStr">
        <is>
          <t>https://www.uefa.com/uefachampionsleague/news/02a6-20d57cfcd03e-407c22a7f465-1000--2026-27-champions-league-teams-dates-draws-format-final/</t>
        </is>
      </c>
      <c r="R157" s="10" t="n">
        <v>46311</v>
      </c>
      <c r="S157" s="9" t="inlineStr">
        <is>
          <t>18 matchs simultanés</t>
        </is>
      </c>
      <c r="T157" s="9">
        <f>IF(H157="","",IF(MAX(H157,I157)&lt;TODAY(),"Terminé",IF(H157&lt;=TODAY(),"En cours","À venir")))</f>
        <v/>
      </c>
    </row>
    <row r="158">
      <c r="A158" s="9" t="inlineStr">
        <is>
          <t>UCL-2627-009</t>
        </is>
      </c>
      <c r="B158" s="9" t="inlineStr">
        <is>
          <t>Football</t>
        </is>
      </c>
      <c r="C158" s="9" t="inlineStr">
        <is>
          <t>UEFA Champions League</t>
        </is>
      </c>
      <c r="D158" s="9" t="inlineStr">
        <is>
          <t>2026-2027</t>
        </is>
      </c>
      <c r="E158" s="9" t="inlineStr">
        <is>
          <t>Barrages</t>
        </is>
      </c>
      <c r="F158" s="9" t="inlineStr">
        <is>
          <t>Aller</t>
        </is>
      </c>
      <c r="G158" s="9" t="inlineStr">
        <is>
          <t>Ligue des champions – Barrages (aller)</t>
        </is>
      </c>
      <c r="H158" s="10" t="n">
        <v>46434</v>
      </c>
      <c r="I158" s="10" t="n">
        <v>46435</v>
      </c>
      <c r="J158" s="11" t="n"/>
      <c r="K158" s="9" t="inlineStr">
        <is>
          <t>Europe/Paris</t>
        </is>
      </c>
      <c r="L158" s="9" t="n"/>
      <c r="M158" s="9" t="inlineStr">
        <is>
          <t>Europe</t>
        </is>
      </c>
      <c r="N158" s="9" t="inlineStr">
        <is>
          <t>Hommes</t>
        </is>
      </c>
      <c r="O158" s="9" t="inlineStr">
        <is>
          <t>Officiel</t>
        </is>
      </c>
      <c r="P158" s="9" t="inlineStr">
        <is>
          <t>Oui</t>
        </is>
      </c>
      <c r="Q158" s="9" t="inlineStr">
        <is>
          <t>https://www.uefa.com/uefachampionsleague/news/02a8-21717d0c6cb5-03a9a5ff1552-1000--champions-league-league-phase-draw-pots-confirmed/</t>
        </is>
      </c>
      <c r="R158" s="10" t="n">
        <v>46311</v>
      </c>
      <c r="S158" s="9" t="n"/>
      <c r="T158" s="9">
        <f>IF(H158="","",IF(MAX(H158,I158)&lt;TODAY(),"Terminé",IF(H158&lt;=TODAY(),"En cours","À venir")))</f>
        <v/>
      </c>
    </row>
    <row r="159">
      <c r="A159" s="9" t="inlineStr">
        <is>
          <t>UCL-2627-010</t>
        </is>
      </c>
      <c r="B159" s="9" t="inlineStr">
        <is>
          <t>Football</t>
        </is>
      </c>
      <c r="C159" s="9" t="inlineStr">
        <is>
          <t>UEFA Champions League</t>
        </is>
      </c>
      <c r="D159" s="9" t="inlineStr">
        <is>
          <t>2026-2027</t>
        </is>
      </c>
      <c r="E159" s="9" t="inlineStr">
        <is>
          <t>Barrages</t>
        </is>
      </c>
      <c r="F159" s="9" t="inlineStr">
        <is>
          <t>Retour</t>
        </is>
      </c>
      <c r="G159" s="9" t="inlineStr">
        <is>
          <t>Ligue des champions – Barrages (retour)</t>
        </is>
      </c>
      <c r="H159" s="10" t="n">
        <v>46441</v>
      </c>
      <c r="I159" s="10" t="n">
        <v>46442</v>
      </c>
      <c r="J159" s="11" t="n"/>
      <c r="K159" s="9" t="inlineStr">
        <is>
          <t>Europe/Paris</t>
        </is>
      </c>
      <c r="L159" s="9" t="n"/>
      <c r="M159" s="9" t="inlineStr">
        <is>
          <t>Europe</t>
        </is>
      </c>
      <c r="N159" s="9" t="inlineStr">
        <is>
          <t>Hommes</t>
        </is>
      </c>
      <c r="O159" s="9" t="inlineStr">
        <is>
          <t>Officiel</t>
        </is>
      </c>
      <c r="P159" s="9" t="inlineStr">
        <is>
          <t>Oui</t>
        </is>
      </c>
      <c r="Q159" s="9" t="inlineStr">
        <is>
          <t>https://www.uefa.com/uefachampionsleague/news/02a8-21717d0c6cb5-03a9a5ff1552-1000--champions-league-league-phase-draw-pots-confirmed/</t>
        </is>
      </c>
      <c r="R159" s="10" t="n">
        <v>46311</v>
      </c>
      <c r="S159" s="9" t="n"/>
      <c r="T159" s="9">
        <f>IF(H159="","",IF(MAX(H159,I159)&lt;TODAY(),"Terminé",IF(H159&lt;=TODAY(),"En cours","À venir")))</f>
        <v/>
      </c>
    </row>
    <row r="160">
      <c r="A160" s="9" t="inlineStr">
        <is>
          <t>UCL-2627-011</t>
        </is>
      </c>
      <c r="B160" s="9" t="inlineStr">
        <is>
          <t>Football</t>
        </is>
      </c>
      <c r="C160" s="9" t="inlineStr">
        <is>
          <t>UEFA Champions League</t>
        </is>
      </c>
      <c r="D160" s="9" t="inlineStr">
        <is>
          <t>2026-2027</t>
        </is>
      </c>
      <c r="E160" s="9" t="inlineStr">
        <is>
          <t>Huitièmes de finale</t>
        </is>
      </c>
      <c r="F160" s="9" t="inlineStr">
        <is>
          <t>Aller</t>
        </is>
      </c>
      <c r="G160" s="9" t="inlineStr">
        <is>
          <t>Ligue des champions – Huitièmes de finale (aller)</t>
        </is>
      </c>
      <c r="H160" s="10" t="n">
        <v>46455</v>
      </c>
      <c r="I160" s="10" t="n">
        <v>46456</v>
      </c>
      <c r="J160" s="11" t="n"/>
      <c r="K160" s="9" t="inlineStr">
        <is>
          <t>Europe/Paris</t>
        </is>
      </c>
      <c r="L160" s="9" t="n"/>
      <c r="M160" s="9" t="inlineStr">
        <is>
          <t>Europe</t>
        </is>
      </c>
      <c r="N160" s="9" t="inlineStr">
        <is>
          <t>Hommes</t>
        </is>
      </c>
      <c r="O160" s="9" t="inlineStr">
        <is>
          <t>Officiel</t>
        </is>
      </c>
      <c r="P160" s="9" t="inlineStr">
        <is>
          <t>Oui</t>
        </is>
      </c>
      <c r="Q160" s="9" t="inlineStr">
        <is>
          <t>https://www.uefa.com/uefachampionsleague/news/02a8-21717d0c6cb5-03a9a5ff1552-1000--champions-league-league-phase-draw-pots-confirmed/</t>
        </is>
      </c>
      <c r="R160" s="10" t="n">
        <v>46311</v>
      </c>
      <c r="S160" s="9" t="n"/>
      <c r="T160" s="9">
        <f>IF(H160="","",IF(MAX(H160,I160)&lt;TODAY(),"Terminé",IF(H160&lt;=TODAY(),"En cours","À venir")))</f>
        <v/>
      </c>
    </row>
    <row r="161">
      <c r="A161" s="9" t="inlineStr">
        <is>
          <t>UCL-2627-012</t>
        </is>
      </c>
      <c r="B161" s="9" t="inlineStr">
        <is>
          <t>Football</t>
        </is>
      </c>
      <c r="C161" s="9" t="inlineStr">
        <is>
          <t>UEFA Champions League</t>
        </is>
      </c>
      <c r="D161" s="9" t="inlineStr">
        <is>
          <t>2026-2027</t>
        </is>
      </c>
      <c r="E161" s="9" t="inlineStr">
        <is>
          <t>Huitièmes de finale</t>
        </is>
      </c>
      <c r="F161" s="9" t="inlineStr">
        <is>
          <t>Retour</t>
        </is>
      </c>
      <c r="G161" s="9" t="inlineStr">
        <is>
          <t>Ligue des champions – Huitièmes de finale (retour)</t>
        </is>
      </c>
      <c r="H161" s="10" t="n">
        <v>46462</v>
      </c>
      <c r="I161" s="10" t="n">
        <v>46463</v>
      </c>
      <c r="J161" s="11" t="n"/>
      <c r="K161" s="9" t="inlineStr">
        <is>
          <t>Europe/Paris</t>
        </is>
      </c>
      <c r="L161" s="9" t="n"/>
      <c r="M161" s="9" t="inlineStr">
        <is>
          <t>Europe</t>
        </is>
      </c>
      <c r="N161" s="9" t="inlineStr">
        <is>
          <t>Hommes</t>
        </is>
      </c>
      <c r="O161" s="9" t="inlineStr">
        <is>
          <t>Officiel</t>
        </is>
      </c>
      <c r="P161" s="9" t="inlineStr">
        <is>
          <t>Oui</t>
        </is>
      </c>
      <c r="Q161" s="9" t="inlineStr">
        <is>
          <t>https://www.uefa.com/uefachampionsleague/news/02a8-21717d0c6cb5-03a9a5ff1552-1000--champions-league-league-phase-draw-pots-confirmed/</t>
        </is>
      </c>
      <c r="R161" s="10" t="n">
        <v>46311</v>
      </c>
      <c r="S161" s="9" t="n"/>
      <c r="T161" s="9">
        <f>IF(H161="","",IF(MAX(H161,I161)&lt;TODAY(),"Terminé",IF(H161&lt;=TODAY(),"En cours","À venir")))</f>
        <v/>
      </c>
    </row>
    <row r="162">
      <c r="A162" s="9" t="inlineStr">
        <is>
          <t>UCL-2627-013</t>
        </is>
      </c>
      <c r="B162" s="9" t="inlineStr">
        <is>
          <t>Football</t>
        </is>
      </c>
      <c r="C162" s="9" t="inlineStr">
        <is>
          <t>UEFA Champions League</t>
        </is>
      </c>
      <c r="D162" s="9" t="inlineStr">
        <is>
          <t>2026-2027</t>
        </is>
      </c>
      <c r="E162" s="9" t="inlineStr">
        <is>
          <t>Quarts de finale</t>
        </is>
      </c>
      <c r="F162" s="9" t="inlineStr">
        <is>
          <t>Aller</t>
        </is>
      </c>
      <c r="G162" s="9" t="inlineStr">
        <is>
          <t>Ligue des champions – Quarts de finale (aller)</t>
        </is>
      </c>
      <c r="H162" s="10" t="n">
        <v>46483</v>
      </c>
      <c r="I162" s="10" t="n">
        <v>46484</v>
      </c>
      <c r="J162" s="11" t="n"/>
      <c r="K162" s="9" t="inlineStr">
        <is>
          <t>Europe/Paris</t>
        </is>
      </c>
      <c r="L162" s="9" t="n"/>
      <c r="M162" s="9" t="inlineStr">
        <is>
          <t>Europe</t>
        </is>
      </c>
      <c r="N162" s="9" t="inlineStr">
        <is>
          <t>Hommes</t>
        </is>
      </c>
      <c r="O162" s="9" t="inlineStr">
        <is>
          <t>Officiel</t>
        </is>
      </c>
      <c r="P162" s="9" t="inlineStr">
        <is>
          <t>Oui</t>
        </is>
      </c>
      <c r="Q162" s="9" t="inlineStr">
        <is>
          <t>https://www.uefa.com/uefachampionsleague/news/02a8-21717d0c6cb5-03a9a5ff1552-1000--champions-league-league-phase-draw-pots-confirmed/</t>
        </is>
      </c>
      <c r="R162" s="10" t="n">
        <v>46311</v>
      </c>
      <c r="S162" s="9" t="n"/>
      <c r="T162" s="9">
        <f>IF(H162="","",IF(MAX(H162,I162)&lt;TODAY(),"Terminé",IF(H162&lt;=TODAY(),"En cours","À venir")))</f>
        <v/>
      </c>
    </row>
    <row r="163">
      <c r="A163" s="9" t="inlineStr">
        <is>
          <t>UCL-2627-014</t>
        </is>
      </c>
      <c r="B163" s="9" t="inlineStr">
        <is>
          <t>Football</t>
        </is>
      </c>
      <c r="C163" s="9" t="inlineStr">
        <is>
          <t>UEFA Champions League</t>
        </is>
      </c>
      <c r="D163" s="9" t="inlineStr">
        <is>
          <t>2026-2027</t>
        </is>
      </c>
      <c r="E163" s="9" t="inlineStr">
        <is>
          <t>Quarts de finale</t>
        </is>
      </c>
      <c r="F163" s="9" t="inlineStr">
        <is>
          <t>Retour</t>
        </is>
      </c>
      <c r="G163" s="9" t="inlineStr">
        <is>
          <t>Ligue des champions – Quarts de finale (retour)</t>
        </is>
      </c>
      <c r="H163" s="10" t="n">
        <v>46490</v>
      </c>
      <c r="I163" s="10" t="n">
        <v>46491</v>
      </c>
      <c r="J163" s="11" t="n"/>
      <c r="K163" s="9" t="inlineStr">
        <is>
          <t>Europe/Paris</t>
        </is>
      </c>
      <c r="L163" s="9" t="n"/>
      <c r="M163" s="9" t="inlineStr">
        <is>
          <t>Europe</t>
        </is>
      </c>
      <c r="N163" s="9" t="inlineStr">
        <is>
          <t>Hommes</t>
        </is>
      </c>
      <c r="O163" s="9" t="inlineStr">
        <is>
          <t>Officiel</t>
        </is>
      </c>
      <c r="P163" s="9" t="inlineStr">
        <is>
          <t>Oui</t>
        </is>
      </c>
      <c r="Q163" s="9" t="inlineStr">
        <is>
          <t>https://www.uefa.com/uefachampionsleague/news/02a8-21717d0c6cb5-03a9a5ff1552-1000--champions-league-league-phase-draw-pots-confirmed/</t>
        </is>
      </c>
      <c r="R163" s="10" t="n">
        <v>46311</v>
      </c>
      <c r="S163" s="9" t="n"/>
      <c r="T163" s="9">
        <f>IF(H163="","",IF(MAX(H163,I163)&lt;TODAY(),"Terminé",IF(H163&lt;=TODAY(),"En cours","À venir")))</f>
        <v/>
      </c>
    </row>
    <row r="164">
      <c r="A164" s="9" t="inlineStr">
        <is>
          <t>UCL-2627-015</t>
        </is>
      </c>
      <c r="B164" s="9" t="inlineStr">
        <is>
          <t>Football</t>
        </is>
      </c>
      <c r="C164" s="9" t="inlineStr">
        <is>
          <t>UEFA Champions League</t>
        </is>
      </c>
      <c r="D164" s="9" t="inlineStr">
        <is>
          <t>2026-2027</t>
        </is>
      </c>
      <c r="E164" s="9" t="inlineStr">
        <is>
          <t>Demi-finales</t>
        </is>
      </c>
      <c r="F164" s="9" t="inlineStr">
        <is>
          <t>Aller</t>
        </is>
      </c>
      <c r="G164" s="9" t="inlineStr">
        <is>
          <t>Ligue des champions – Demi-finales (aller)</t>
        </is>
      </c>
      <c r="H164" s="10" t="n">
        <v>46504</v>
      </c>
      <c r="I164" s="10" t="n">
        <v>46505</v>
      </c>
      <c r="J164" s="11" t="n"/>
      <c r="K164" s="9" t="inlineStr">
        <is>
          <t>Europe/Paris</t>
        </is>
      </c>
      <c r="L164" s="9" t="n"/>
      <c r="M164" s="9" t="inlineStr">
        <is>
          <t>Europe</t>
        </is>
      </c>
      <c r="N164" s="9" t="inlineStr">
        <is>
          <t>Hommes</t>
        </is>
      </c>
      <c r="O164" s="9" t="inlineStr">
        <is>
          <t>Officiel</t>
        </is>
      </c>
      <c r="P164" s="9" t="inlineStr">
        <is>
          <t>Oui</t>
        </is>
      </c>
      <c r="Q164" s="9" t="inlineStr">
        <is>
          <t>https://www.uefa.com/uefachampionsleague/news/02a8-21717d0c6cb5-03a9a5ff1552-1000--champions-league-league-phase-draw-pots-confirmed/</t>
        </is>
      </c>
      <c r="R164" s="10" t="n">
        <v>46311</v>
      </c>
      <c r="S164" s="9" t="n"/>
      <c r="T164" s="9">
        <f>IF(H164="","",IF(MAX(H164,I164)&lt;TODAY(),"Terminé",IF(H164&lt;=TODAY(),"En cours","À venir")))</f>
        <v/>
      </c>
    </row>
    <row r="165">
      <c r="A165" s="9" t="inlineStr">
        <is>
          <t>UCL-2627-016</t>
        </is>
      </c>
      <c r="B165" s="9" t="inlineStr">
        <is>
          <t>Football</t>
        </is>
      </c>
      <c r="C165" s="9" t="inlineStr">
        <is>
          <t>UEFA Champions League</t>
        </is>
      </c>
      <c r="D165" s="9" t="inlineStr">
        <is>
          <t>2026-2027</t>
        </is>
      </c>
      <c r="E165" s="9" t="inlineStr">
        <is>
          <t>Demi-finales</t>
        </is>
      </c>
      <c r="F165" s="9" t="inlineStr">
        <is>
          <t>Retour</t>
        </is>
      </c>
      <c r="G165" s="9" t="inlineStr">
        <is>
          <t>Ligue des champions – Demi-finales (retour)</t>
        </is>
      </c>
      <c r="H165" s="10" t="n">
        <v>46511</v>
      </c>
      <c r="I165" s="10" t="n">
        <v>46512</v>
      </c>
      <c r="J165" s="11" t="n"/>
      <c r="K165" s="9" t="inlineStr">
        <is>
          <t>Europe/Paris</t>
        </is>
      </c>
      <c r="L165" s="9" t="n"/>
      <c r="M165" s="9" t="inlineStr">
        <is>
          <t>Europe</t>
        </is>
      </c>
      <c r="N165" s="9" t="inlineStr">
        <is>
          <t>Hommes</t>
        </is>
      </c>
      <c r="O165" s="9" t="inlineStr">
        <is>
          <t>Officiel</t>
        </is>
      </c>
      <c r="P165" s="9" t="inlineStr">
        <is>
          <t>Oui</t>
        </is>
      </c>
      <c r="Q165" s="9" t="inlineStr">
        <is>
          <t>https://www.uefa.com/uefachampionsleague/news/02a8-21717d0c6cb5-03a9a5ff1552-1000--champions-league-league-phase-draw-pots-confirmed/</t>
        </is>
      </c>
      <c r="R165" s="10" t="n">
        <v>46311</v>
      </c>
      <c r="S165" s="9" t="n"/>
      <c r="T165" s="9">
        <f>IF(H165="","",IF(MAX(H165,I165)&lt;TODAY(),"Terminé",IF(H165&lt;=TODAY(),"En cours","À venir")))</f>
        <v/>
      </c>
    </row>
    <row r="166">
      <c r="A166" s="9" t="inlineStr">
        <is>
          <t>UCL-2627-017</t>
        </is>
      </c>
      <c r="B166" s="9" t="inlineStr">
        <is>
          <t>Football</t>
        </is>
      </c>
      <c r="C166" s="9" t="inlineStr">
        <is>
          <t>UEFA Champions League</t>
        </is>
      </c>
      <c r="D166" s="9" t="inlineStr">
        <is>
          <t>2026-2027</t>
        </is>
      </c>
      <c r="E166" s="9" t="inlineStr">
        <is>
          <t>Finale</t>
        </is>
      </c>
      <c r="F166" s="9" t="n"/>
      <c r="G166" s="9" t="inlineStr">
        <is>
          <t>Ligue des champions – Finale</t>
        </is>
      </c>
      <c r="H166" s="10" t="n">
        <v>46543</v>
      </c>
      <c r="I166" s="10" t="n">
        <v>46543</v>
      </c>
      <c r="J166" s="11" t="n"/>
      <c r="K166" s="9" t="inlineStr">
        <is>
          <t>Europe/Paris</t>
        </is>
      </c>
      <c r="L166" s="9" t="inlineStr">
        <is>
          <t>Estadio Metropolitano (Riyadh Air Metropolitano), Madrid</t>
        </is>
      </c>
      <c r="M166" s="9" t="inlineStr">
        <is>
          <t>Espagne</t>
        </is>
      </c>
      <c r="N166" s="9" t="inlineStr">
        <is>
          <t>Hommes</t>
        </is>
      </c>
      <c r="O166" s="9" t="inlineStr">
        <is>
          <t>Officiel</t>
        </is>
      </c>
      <c r="P166" s="9" t="inlineStr">
        <is>
          <t>Oui</t>
        </is>
      </c>
      <c r="Q166" s="9" t="inlineStr">
        <is>
          <t>https://www.uefa.com/uefachampionsleague/news/02a6-20d57cfcd03e-407c22a7f465-1000--2026-27-champions-league-teams-dates-draws-format-final/</t>
        </is>
      </c>
      <c r="R166" s="10" t="n">
        <v>46311</v>
      </c>
      <c r="S166" s="9" t="inlineStr">
        <is>
          <t>Heure du coup d'envoi non encore annoncée par l'UEFA</t>
        </is>
      </c>
      <c r="T166" s="9">
        <f>IF(H166="","",IF(MAX(H166,I166)&lt;TODAY(),"Terminé",IF(H166&lt;=TODAY(),"En cours","À venir")))</f>
        <v/>
      </c>
    </row>
    <row r="167">
      <c r="A167" s="9" t="inlineStr">
        <is>
          <t>UCL-2728-001</t>
        </is>
      </c>
      <c r="B167" s="9" t="inlineStr">
        <is>
          <t>Football</t>
        </is>
      </c>
      <c r="C167" s="9" t="inlineStr">
        <is>
          <t>UEFA Champions League</t>
        </is>
      </c>
      <c r="D167" s="9" t="inlineStr">
        <is>
          <t>2027-2028</t>
        </is>
      </c>
      <c r="E167" s="9" t="inlineStr">
        <is>
          <t>Finale</t>
        </is>
      </c>
      <c r="F167" s="9" t="n"/>
      <c r="G167" s="9" t="inlineStr">
        <is>
          <t>Ligue des champions – Finale 2028</t>
        </is>
      </c>
      <c r="H167" s="10" t="n">
        <v>46900</v>
      </c>
      <c r="I167" s="10" t="n">
        <v>46900</v>
      </c>
      <c r="J167" s="11" t="n"/>
      <c r="K167" s="9" t="inlineStr">
        <is>
          <t>Europe/Paris</t>
        </is>
      </c>
      <c r="L167" s="9" t="inlineStr">
        <is>
          <t>Allianz Arena (Munich Football Arena), Munich</t>
        </is>
      </c>
      <c r="M167" s="9" t="inlineStr">
        <is>
          <t>Allemagne</t>
        </is>
      </c>
      <c r="N167" s="9" t="inlineStr">
        <is>
          <t>Hommes</t>
        </is>
      </c>
      <c r="O167" s="9" t="inlineStr">
        <is>
          <t>Provisoire</t>
        </is>
      </c>
      <c r="P167" s="9" t="inlineStr">
        <is>
          <t>Oui</t>
        </is>
      </c>
      <c r="Q167" s="9" t="inlineStr">
        <is>
          <t>https://www.uefa.com/uefachampionsleague/news/02a9-2198aeb37b63-ae3e506ac9dc-1000--2028-and-2029-champions-league-final-venues-confirmed/</t>
        </is>
      </c>
      <c r="R167" s="10" t="n">
        <v>46311</v>
      </c>
      <c r="S167" s="9" t="inlineStr">
        <is>
          <t>Stade attribué par l'UEFA le 15/09/2026 ; date du 27/05/2028 relevée sur Wikipédia/presse, non lue directement sur uefa.com</t>
        </is>
      </c>
      <c r="T167" s="9">
        <f>IF(H167="","",IF(MAX(H167,I167)&lt;TODAY(),"Terminé",IF(H167&lt;=TODAY(),"En cours","À venir")))</f>
        <v/>
      </c>
    </row>
    <row r="168">
      <c r="A168" s="9" t="inlineStr">
        <is>
          <t>UNL-2627-001</t>
        </is>
      </c>
      <c r="B168" s="9" t="inlineStr">
        <is>
          <t>Football</t>
        </is>
      </c>
      <c r="C168" s="9" t="inlineStr">
        <is>
          <t>UEFA Nations League</t>
        </is>
      </c>
      <c r="D168" s="9" t="inlineStr">
        <is>
          <t>2026-2027</t>
        </is>
      </c>
      <c r="E168" s="9" t="inlineStr">
        <is>
          <t>Phase de ligue</t>
        </is>
      </c>
      <c r="F168" s="9" t="n">
        <v>1</v>
      </c>
      <c r="G168" s="9" t="inlineStr">
        <is>
          <t>Ligue des nations – Journée 1</t>
        </is>
      </c>
      <c r="H168" s="10" t="n">
        <v>46289</v>
      </c>
      <c r="I168" s="10" t="n">
        <v>46291</v>
      </c>
      <c r="J168" s="11" t="n"/>
      <c r="K168" s="9" t="inlineStr">
        <is>
          <t>Europe/Paris</t>
        </is>
      </c>
      <c r="L168" s="9" t="n"/>
      <c r="M168" s="9" t="inlineStr">
        <is>
          <t>Europe</t>
        </is>
      </c>
      <c r="N168" s="9" t="inlineStr">
        <is>
          <t>Hommes</t>
        </is>
      </c>
      <c r="O168" s="9" t="inlineStr">
        <is>
          <t>Officiel</t>
        </is>
      </c>
      <c r="P168" s="9" t="inlineStr">
        <is>
          <t>Oui</t>
        </is>
      </c>
      <c r="Q168" s="9" t="inlineStr">
        <is>
          <t>https://www.uefa.com/uefanationsleague/news/02a2-1fea18abbcbc-456e846509e7-1000--2026-27-uefa-nations-league-all-the-league-phase-fixtures-a/</t>
        </is>
      </c>
      <c r="R168" s="10" t="n">
        <v>46311</v>
      </c>
      <c r="S168" s="9" t="n"/>
      <c r="T168" s="9">
        <f>IF(H168="","",IF(MAX(H168,I168)&lt;TODAY(),"Terminé",IF(H168&lt;=TODAY(),"En cours","À venir")))</f>
        <v/>
      </c>
    </row>
    <row r="169">
      <c r="A169" s="9" t="inlineStr">
        <is>
          <t>UNL-2627-002</t>
        </is>
      </c>
      <c r="B169" s="9" t="inlineStr">
        <is>
          <t>Football</t>
        </is>
      </c>
      <c r="C169" s="9" t="inlineStr">
        <is>
          <t>UEFA Nations League</t>
        </is>
      </c>
      <c r="D169" s="9" t="inlineStr">
        <is>
          <t>2026-2027</t>
        </is>
      </c>
      <c r="E169" s="9" t="inlineStr">
        <is>
          <t>Phase de ligue</t>
        </is>
      </c>
      <c r="F169" s="9" t="n">
        <v>2</v>
      </c>
      <c r="G169" s="9" t="inlineStr">
        <is>
          <t>Ligue des nations – Journée 2</t>
        </is>
      </c>
      <c r="H169" s="10" t="n">
        <v>46292</v>
      </c>
      <c r="I169" s="10" t="n">
        <v>46294</v>
      </c>
      <c r="J169" s="11" t="n"/>
      <c r="K169" s="9" t="inlineStr">
        <is>
          <t>Europe/Paris</t>
        </is>
      </c>
      <c r="L169" s="9" t="n"/>
      <c r="M169" s="9" t="inlineStr">
        <is>
          <t>Europe</t>
        </is>
      </c>
      <c r="N169" s="9" t="inlineStr">
        <is>
          <t>Hommes</t>
        </is>
      </c>
      <c r="O169" s="9" t="inlineStr">
        <is>
          <t>Officiel</t>
        </is>
      </c>
      <c r="P169" s="9" t="inlineStr">
        <is>
          <t>Oui</t>
        </is>
      </c>
      <c r="Q169" s="9" t="inlineStr">
        <is>
          <t>https://www.uefa.com/uefanationsleague/news/02a2-1fea18abbcbc-456e846509e7-1000--2026-27-uefa-nations-league-all-the-league-phase-fixtures-a/</t>
        </is>
      </c>
      <c r="R169" s="10" t="n">
        <v>46311</v>
      </c>
      <c r="S169" s="9" t="n"/>
      <c r="T169" s="9">
        <f>IF(H169="","",IF(MAX(H169,I169)&lt;TODAY(),"Terminé",IF(H169&lt;=TODAY(),"En cours","À venir")))</f>
        <v/>
      </c>
    </row>
    <row r="170">
      <c r="A170" s="9" t="inlineStr">
        <is>
          <t>UNL-2627-003</t>
        </is>
      </c>
      <c r="B170" s="9" t="inlineStr">
        <is>
          <t>Football</t>
        </is>
      </c>
      <c r="C170" s="9" t="inlineStr">
        <is>
          <t>UEFA Nations League</t>
        </is>
      </c>
      <c r="D170" s="9" t="inlineStr">
        <is>
          <t>2026-2027</t>
        </is>
      </c>
      <c r="E170" s="9" t="inlineStr">
        <is>
          <t>Phase de ligue</t>
        </is>
      </c>
      <c r="F170" s="9" t="n">
        <v>3</v>
      </c>
      <c r="G170" s="9" t="inlineStr">
        <is>
          <t>Ligue des nations – Journée 3</t>
        </is>
      </c>
      <c r="H170" s="10" t="n">
        <v>46295</v>
      </c>
      <c r="I170" s="10" t="n">
        <v>46298</v>
      </c>
      <c r="J170" s="11" t="n"/>
      <c r="K170" s="9" t="inlineStr">
        <is>
          <t>Europe/Paris</t>
        </is>
      </c>
      <c r="L170" s="9" t="n"/>
      <c r="M170" s="9" t="inlineStr">
        <is>
          <t>Europe</t>
        </is>
      </c>
      <c r="N170" s="9" t="inlineStr">
        <is>
          <t>Hommes</t>
        </is>
      </c>
      <c r="O170" s="9" t="inlineStr">
        <is>
          <t>Officiel</t>
        </is>
      </c>
      <c r="P170" s="9" t="inlineStr">
        <is>
          <t>Oui</t>
        </is>
      </c>
      <c r="Q170" s="9" t="inlineStr">
        <is>
          <t>https://www.uefa.com/uefanationsleague/news/02a2-1fea18abbcbc-456e846509e7-1000--2026-27-uefa-nations-league-all-the-league-phase-fixtures-a/</t>
        </is>
      </c>
      <c r="R170" s="10" t="n">
        <v>46311</v>
      </c>
      <c r="S170" s="9" t="inlineStr">
        <is>
          <t>Fenêtre 30/09–03/10 selon UEFA (le 30/09 n'est utilisé que pour certains matchs)</t>
        </is>
      </c>
      <c r="T170" s="9">
        <f>IF(H170="","",IF(MAX(H170,I170)&lt;TODAY(),"Terminé",IF(H170&lt;=TODAY(),"En cours","À venir")))</f>
        <v/>
      </c>
    </row>
    <row r="171">
      <c r="A171" s="9" t="inlineStr">
        <is>
          <t>UNL-2627-004</t>
        </is>
      </c>
      <c r="B171" s="9" t="inlineStr">
        <is>
          <t>Football</t>
        </is>
      </c>
      <c r="C171" s="9" t="inlineStr">
        <is>
          <t>UEFA Nations League</t>
        </is>
      </c>
      <c r="D171" s="9" t="inlineStr">
        <is>
          <t>2026-2027</t>
        </is>
      </c>
      <c r="E171" s="9" t="inlineStr">
        <is>
          <t>Phase de ligue</t>
        </is>
      </c>
      <c r="F171" s="9" t="n">
        <v>4</v>
      </c>
      <c r="G171" s="9" t="inlineStr">
        <is>
          <t>Ligue des nations – Journée 4</t>
        </is>
      </c>
      <c r="H171" s="10" t="n">
        <v>46299</v>
      </c>
      <c r="I171" s="10" t="n">
        <v>46301</v>
      </c>
      <c r="J171" s="11" t="n"/>
      <c r="K171" s="9" t="inlineStr">
        <is>
          <t>Europe/Paris</t>
        </is>
      </c>
      <c r="L171" s="9" t="n"/>
      <c r="M171" s="9" t="inlineStr">
        <is>
          <t>Europe</t>
        </is>
      </c>
      <c r="N171" s="9" t="inlineStr">
        <is>
          <t>Hommes</t>
        </is>
      </c>
      <c r="O171" s="9" t="inlineStr">
        <is>
          <t>Officiel</t>
        </is>
      </c>
      <c r="P171" s="9" t="inlineStr">
        <is>
          <t>Oui</t>
        </is>
      </c>
      <c r="Q171" s="9" t="inlineStr">
        <is>
          <t>https://www.uefa.com/uefanationsleague/news/02a2-1fea18abbcbc-456e846509e7-1000--2026-27-uefa-nations-league-all-the-league-phase-fixtures-a/</t>
        </is>
      </c>
      <c r="R171" s="10" t="n">
        <v>46311</v>
      </c>
      <c r="S171" s="9" t="n"/>
      <c r="T171" s="9">
        <f>IF(H171="","",IF(MAX(H171,I171)&lt;TODAY(),"Terminé",IF(H171&lt;=TODAY(),"En cours","À venir")))</f>
        <v/>
      </c>
    </row>
    <row r="172">
      <c r="A172" s="9" t="inlineStr">
        <is>
          <t>UNL-2627-005</t>
        </is>
      </c>
      <c r="B172" s="9" t="inlineStr">
        <is>
          <t>Football</t>
        </is>
      </c>
      <c r="C172" s="9" t="inlineStr">
        <is>
          <t>UEFA Nations League</t>
        </is>
      </c>
      <c r="D172" s="9" t="inlineStr">
        <is>
          <t>2026-2027</t>
        </is>
      </c>
      <c r="E172" s="9" t="inlineStr">
        <is>
          <t>Phase de ligue</t>
        </is>
      </c>
      <c r="F172" s="9" t="n">
        <v>5</v>
      </c>
      <c r="G172" s="9" t="inlineStr">
        <is>
          <t>Ligue des nations – Journée 5</t>
        </is>
      </c>
      <c r="H172" s="10" t="n">
        <v>46338</v>
      </c>
      <c r="I172" s="10" t="n">
        <v>46340</v>
      </c>
      <c r="J172" s="11" t="n"/>
      <c r="K172" s="9" t="inlineStr">
        <is>
          <t>Europe/Paris</t>
        </is>
      </c>
      <c r="L172" s="9" t="n"/>
      <c r="M172" s="9" t="inlineStr">
        <is>
          <t>Europe</t>
        </is>
      </c>
      <c r="N172" s="9" t="inlineStr">
        <is>
          <t>Hommes</t>
        </is>
      </c>
      <c r="O172" s="9" t="inlineStr">
        <is>
          <t>Officiel</t>
        </is>
      </c>
      <c r="P172" s="9" t="inlineStr">
        <is>
          <t>Oui</t>
        </is>
      </c>
      <c r="Q172" s="9" t="inlineStr">
        <is>
          <t>https://www.uefa.com/uefanationsleague/news/02a2-1fea18abbcbc-456e846509e7-1000--2026-27-uefa-nations-league-all-the-league-phase-fixtures-a/</t>
        </is>
      </c>
      <c r="R172" s="10" t="n">
        <v>46311</v>
      </c>
      <c r="S172" s="9" t="n"/>
      <c r="T172" s="9">
        <f>IF(H172="","",IF(MAX(H172,I172)&lt;TODAY(),"Terminé",IF(H172&lt;=TODAY(),"En cours","À venir")))</f>
        <v/>
      </c>
    </row>
    <row r="173">
      <c r="A173" s="9" t="inlineStr">
        <is>
          <t>UNL-2627-006</t>
        </is>
      </c>
      <c r="B173" s="9" t="inlineStr">
        <is>
          <t>Football</t>
        </is>
      </c>
      <c r="C173" s="9" t="inlineStr">
        <is>
          <t>UEFA Nations League</t>
        </is>
      </c>
      <c r="D173" s="9" t="inlineStr">
        <is>
          <t>2026-2027</t>
        </is>
      </c>
      <c r="E173" s="9" t="inlineStr">
        <is>
          <t>Phase de ligue</t>
        </is>
      </c>
      <c r="F173" s="9" t="n">
        <v>6</v>
      </c>
      <c r="G173" s="9" t="inlineStr">
        <is>
          <t>Ligue des nations – Journée 6</t>
        </is>
      </c>
      <c r="H173" s="10" t="n">
        <v>46341</v>
      </c>
      <c r="I173" s="10" t="n">
        <v>46343</v>
      </c>
      <c r="J173" s="11" t="n"/>
      <c r="K173" s="9" t="inlineStr">
        <is>
          <t>Europe/Paris</t>
        </is>
      </c>
      <c r="L173" s="9" t="n"/>
      <c r="M173" s="9" t="inlineStr">
        <is>
          <t>Europe</t>
        </is>
      </c>
      <c r="N173" s="9" t="inlineStr">
        <is>
          <t>Hommes</t>
        </is>
      </c>
      <c r="O173" s="9" t="inlineStr">
        <is>
          <t>Officiel</t>
        </is>
      </c>
      <c r="P173" s="9" t="inlineStr">
        <is>
          <t>Oui</t>
        </is>
      </c>
      <c r="Q173" s="9" t="inlineStr">
        <is>
          <t>https://www.uefa.com/uefanationsleague/news/02a2-1fea18abbcbc-456e846509e7-1000--2026-27-uefa-nations-league-all-the-league-phase-fixtures-a/</t>
        </is>
      </c>
      <c r="R173" s="10" t="n">
        <v>46311</v>
      </c>
      <c r="S173" s="9" t="inlineStr">
        <is>
          <t>Fin de la phase de ligue</t>
        </is>
      </c>
      <c r="T173" s="9">
        <f>IF(H173="","",IF(MAX(H173,I173)&lt;TODAY(),"Terminé",IF(H173&lt;=TODAY(),"En cours","À venir")))</f>
        <v/>
      </c>
    </row>
    <row r="174">
      <c r="A174" s="9" t="inlineStr">
        <is>
          <t>UNL-2627-007</t>
        </is>
      </c>
      <c r="B174" s="9" t="inlineStr">
        <is>
          <t>Football</t>
        </is>
      </c>
      <c r="C174" s="9" t="inlineStr">
        <is>
          <t>UEFA Nations League</t>
        </is>
      </c>
      <c r="D174" s="9" t="inlineStr">
        <is>
          <t>2026-2027</t>
        </is>
      </c>
      <c r="E174" s="9" t="inlineStr">
        <is>
          <t>Quarts de finale</t>
        </is>
      </c>
      <c r="F174" s="9" t="n"/>
      <c r="G174" s="9" t="inlineStr">
        <is>
          <t>Ligue des nations – Quarts de finale et barrages de promotion/relégation A/B et B/C</t>
        </is>
      </c>
      <c r="H174" s="10" t="n">
        <v>46471</v>
      </c>
      <c r="I174" s="10" t="n">
        <v>46476</v>
      </c>
      <c r="J174" s="11" t="n"/>
      <c r="K174" s="9" t="inlineStr">
        <is>
          <t>Europe/Paris</t>
        </is>
      </c>
      <c r="L174" s="9" t="n"/>
      <c r="M174" s="9" t="inlineStr">
        <is>
          <t>Europe</t>
        </is>
      </c>
      <c r="N174" s="9" t="inlineStr">
        <is>
          <t>Hommes</t>
        </is>
      </c>
      <c r="O174" s="9" t="inlineStr">
        <is>
          <t>Officiel</t>
        </is>
      </c>
      <c r="P174" s="9" t="inlineStr">
        <is>
          <t>Oui</t>
        </is>
      </c>
      <c r="Q174" s="9" t="inlineStr">
        <is>
          <t>https://www.uefa.com/uefanationsleague/news/0298-1d6ef1acfaef-b54fcf1da859-1000--2026-27-uefa-nations-league-all-you-need-to-know/</t>
        </is>
      </c>
      <c r="R174" s="10" t="n">
        <v>46311</v>
      </c>
      <c r="S174" s="9" t="inlineStr">
        <is>
          <t>Matchs aller-retour dans la fenêtre 25–30/03/2027 ; dates exactes aller/retour non publiées séparément</t>
        </is>
      </c>
      <c r="T174" s="9">
        <f>IF(H174="","",IF(MAX(H174,I174)&lt;TODAY(),"Terminé",IF(H174&lt;=TODAY(),"En cours","À venir")))</f>
        <v/>
      </c>
    </row>
    <row r="175">
      <c r="A175" s="9" t="inlineStr">
        <is>
          <t>UNL-2627-008</t>
        </is>
      </c>
      <c r="B175" s="9" t="inlineStr">
        <is>
          <t>Football</t>
        </is>
      </c>
      <c r="C175" s="9" t="inlineStr">
        <is>
          <t>UEFA Nations League</t>
        </is>
      </c>
      <c r="D175" s="9" t="inlineStr">
        <is>
          <t>2026-2027</t>
        </is>
      </c>
      <c r="E175" s="9" t="inlineStr">
        <is>
          <t>Demi-finales</t>
        </is>
      </c>
      <c r="F175" s="9" t="n"/>
      <c r="G175" s="9" t="inlineStr">
        <is>
          <t>Ligue des nations – Final Four : demi-finales</t>
        </is>
      </c>
      <c r="H175" s="10" t="n">
        <v>46547</v>
      </c>
      <c r="I175" s="10" t="n">
        <v>46548</v>
      </c>
      <c r="J175" s="11" t="n"/>
      <c r="K175" s="9" t="inlineStr">
        <is>
          <t>Europe/Paris</t>
        </is>
      </c>
      <c r="L175" s="9" t="n"/>
      <c r="M175" s="9" t="n"/>
      <c r="N175" s="9" t="inlineStr">
        <is>
          <t>Hommes</t>
        </is>
      </c>
      <c r="O175" s="9" t="inlineStr">
        <is>
          <t>À confirmer</t>
        </is>
      </c>
      <c r="P175" s="9" t="inlineStr">
        <is>
          <t>Oui</t>
        </is>
      </c>
      <c r="Q175" s="9" t="inlineStr">
        <is>
          <t>https://en.wikipedia.org/wiki/2027_UEFA_Nations_League_Finals</t>
        </is>
      </c>
      <c r="R175" s="10" t="n">
        <v>46311</v>
      </c>
      <c r="S175" s="9" t="inlineStr">
        <is>
          <t>Phase finale 9–13/06/2027 (UEFA) ; pays hôte non désigné (décision Comité exécutif UEFA prévue le 06/12/2026, Espagne candidate)</t>
        </is>
      </c>
      <c r="T175" s="9">
        <f>IF(H175="","",IF(MAX(H175,I175)&lt;TODAY(),"Terminé",IF(H175&lt;=TODAY(),"En cours","À venir")))</f>
        <v/>
      </c>
    </row>
    <row r="176">
      <c r="A176" s="9" t="inlineStr">
        <is>
          <t>UNL-2627-009</t>
        </is>
      </c>
      <c r="B176" s="9" t="inlineStr">
        <is>
          <t>Football</t>
        </is>
      </c>
      <c r="C176" s="9" t="inlineStr">
        <is>
          <t>UEFA Nations League</t>
        </is>
      </c>
      <c r="D176" s="9" t="inlineStr">
        <is>
          <t>2026-2027</t>
        </is>
      </c>
      <c r="E176" s="9" t="inlineStr">
        <is>
          <t>Finale</t>
        </is>
      </c>
      <c r="F176" s="9" t="n"/>
      <c r="G176" s="9" t="inlineStr">
        <is>
          <t>Ligue des nations – Finale et match pour la 3e place</t>
        </is>
      </c>
      <c r="H176" s="10" t="n">
        <v>46551</v>
      </c>
      <c r="I176" s="10" t="n">
        <v>46551</v>
      </c>
      <c r="J176" s="11" t="n"/>
      <c r="K176" s="9" t="inlineStr">
        <is>
          <t>Europe/Paris</t>
        </is>
      </c>
      <c r="L176" s="9" t="n"/>
      <c r="M176" s="9" t="n"/>
      <c r="N176" s="9" t="inlineStr">
        <is>
          <t>Hommes</t>
        </is>
      </c>
      <c r="O176" s="9" t="inlineStr">
        <is>
          <t>À confirmer</t>
        </is>
      </c>
      <c r="P176" s="9" t="inlineStr">
        <is>
          <t>Oui</t>
        </is>
      </c>
      <c r="Q176" s="9" t="inlineStr">
        <is>
          <t>https://en.wikipedia.org/wiki/2027_UEFA_Nations_League_Finals</t>
        </is>
      </c>
      <c r="R176" s="10" t="n">
        <v>46311</v>
      </c>
      <c r="S176" s="9" t="inlineStr">
        <is>
          <t>Pays hôte et stade non désignés ; heure non annoncée</t>
        </is>
      </c>
      <c r="T176" s="9">
        <f>IF(H176="","",IF(MAX(H176,I176)&lt;TODAY(),"Terminé",IF(H176&lt;=TODAY(),"En cours","À venir")))</f>
        <v/>
      </c>
    </row>
    <row r="177">
      <c r="A177" s="9" t="inlineStr">
        <is>
          <t>UNL-2627-010</t>
        </is>
      </c>
      <c r="B177" s="9" t="inlineStr">
        <is>
          <t>Football</t>
        </is>
      </c>
      <c r="C177" s="9" t="inlineStr">
        <is>
          <t>UEFA Nations League</t>
        </is>
      </c>
      <c r="D177" s="9" t="inlineStr">
        <is>
          <t>2026-2027</t>
        </is>
      </c>
      <c r="E177" s="9" t="inlineStr">
        <is>
          <t>Barrages</t>
        </is>
      </c>
      <c r="F177" s="9" t="n"/>
      <c r="G177" s="9" t="inlineStr">
        <is>
          <t>Ligue des nations – Barrages de relégation Ligue C/D</t>
        </is>
      </c>
      <c r="H177" s="10" t="n">
        <v>46835</v>
      </c>
      <c r="I177" s="10" t="n">
        <v>46840</v>
      </c>
      <c r="J177" s="11" t="n"/>
      <c r="K177" s="9" t="inlineStr">
        <is>
          <t>Europe/Paris</t>
        </is>
      </c>
      <c r="L177" s="9" t="n"/>
      <c r="M177" s="9" t="inlineStr">
        <is>
          <t>Europe</t>
        </is>
      </c>
      <c r="N177" s="9" t="inlineStr">
        <is>
          <t>Hommes</t>
        </is>
      </c>
      <c r="O177" s="9" t="inlineStr">
        <is>
          <t>Provisoire</t>
        </is>
      </c>
      <c r="P177" s="9" t="inlineStr">
        <is>
          <t>Oui</t>
        </is>
      </c>
      <c r="Q177" s="9" t="inlineStr">
        <is>
          <t>https://www.uefa.com/uefanationsleague/news/0298-1d6ef1acfaef-b54fcf1da859-1000--2026-27-uefa-nations-league-all-you-need-to-know/</t>
        </is>
      </c>
      <c r="R177" s="10" t="n">
        <v>46311</v>
      </c>
      <c r="S177" s="9" t="inlineStr">
        <is>
          <t>Date indiquée par l'UEFA (mars 2028), à vérifier</t>
        </is>
      </c>
      <c r="T177" s="9">
        <f>IF(H177="","",IF(MAX(H177,I177)&lt;TODAY(),"Terminé",IF(H177&lt;=TODAY(),"En cours","À venir")))</f>
        <v/>
      </c>
    </row>
    <row r="178">
      <c r="A178" s="9" t="inlineStr">
        <is>
          <t>T14-2627-001</t>
        </is>
      </c>
      <c r="B178" s="9" t="inlineStr">
        <is>
          <t>Rugby</t>
        </is>
      </c>
      <c r="C178" s="9" t="inlineStr">
        <is>
          <t>Top 14</t>
        </is>
      </c>
      <c r="D178" s="9" t="inlineStr">
        <is>
          <t>2026-2027</t>
        </is>
      </c>
      <c r="E178" s="9" t="inlineStr">
        <is>
          <t>Saison régulière</t>
        </is>
      </c>
      <c r="F178" s="9" t="n">
        <v>1</v>
      </c>
      <c r="G178" s="9" t="inlineStr">
        <is>
          <t>Top 14 – Journée 1</t>
        </is>
      </c>
      <c r="H178" s="10" t="n">
        <v>46270</v>
      </c>
      <c r="I178" s="10" t="n">
        <v>46271</v>
      </c>
      <c r="J178" s="11" t="n"/>
      <c r="K178" s="9" t="inlineStr">
        <is>
          <t>Europe/Paris</t>
        </is>
      </c>
      <c r="L178" s="9" t="n"/>
      <c r="M178" s="9" t="inlineStr">
        <is>
          <t>France</t>
        </is>
      </c>
      <c r="N178" s="9" t="inlineStr">
        <is>
          <t>Hommes</t>
        </is>
      </c>
      <c r="O178" s="9" t="inlineStr">
        <is>
          <t>Officiel</t>
        </is>
      </c>
      <c r="P178" s="9" t="inlineStr">
        <is>
          <t>Oui</t>
        </is>
      </c>
      <c r="Q178" s="9" t="inlineStr">
        <is>
          <t>https://top14.lnr.fr/calendrier-et-resultats/2026-2027/j1</t>
        </is>
      </c>
      <c r="R178" s="10" t="n">
        <v>46311</v>
      </c>
      <c r="S178" s="9" t="n"/>
      <c r="T178" s="9">
        <f>IF(H178="","",IF(MAX(H178,I178)&lt;TODAY(),"Terminé",IF(H178&lt;=TODAY(),"En cours","À venir")))</f>
        <v/>
      </c>
    </row>
    <row r="179">
      <c r="A179" s="9" t="inlineStr">
        <is>
          <t>T14-2627-002</t>
        </is>
      </c>
      <c r="B179" s="9" t="inlineStr">
        <is>
          <t>Rugby</t>
        </is>
      </c>
      <c r="C179" s="9" t="inlineStr">
        <is>
          <t>Top 14</t>
        </is>
      </c>
      <c r="D179" s="9" t="inlineStr">
        <is>
          <t>2026-2027</t>
        </is>
      </c>
      <c r="E179" s="9" t="inlineStr">
        <is>
          <t>Saison régulière</t>
        </is>
      </c>
      <c r="F179" s="9" t="n">
        <v>2</v>
      </c>
      <c r="G179" s="9" t="inlineStr">
        <is>
          <t>Top 14 – Journée 2</t>
        </is>
      </c>
      <c r="H179" s="10" t="n">
        <v>46277</v>
      </c>
      <c r="I179" s="10" t="n">
        <v>46278</v>
      </c>
      <c r="J179" s="11" t="n"/>
      <c r="K179" s="9" t="inlineStr">
        <is>
          <t>Europe/Paris</t>
        </is>
      </c>
      <c r="L179" s="9" t="n"/>
      <c r="M179" s="9" t="inlineStr">
        <is>
          <t>France</t>
        </is>
      </c>
      <c r="N179" s="9" t="inlineStr">
        <is>
          <t>Hommes</t>
        </is>
      </c>
      <c r="O179" s="9" t="inlineStr">
        <is>
          <t>Officiel</t>
        </is>
      </c>
      <c r="P179" s="9" t="inlineStr">
        <is>
          <t>Oui</t>
        </is>
      </c>
      <c r="Q179" s="9" t="inlineStr">
        <is>
          <t>https://top14.lnr.fr/calendrier-et-resultats/2026-2027/j2</t>
        </is>
      </c>
      <c r="R179" s="10" t="n">
        <v>46311</v>
      </c>
      <c r="S179" s="9" t="n"/>
      <c r="T179" s="9">
        <f>IF(H179="","",IF(MAX(H179,I179)&lt;TODAY(),"Terminé",IF(H179&lt;=TODAY(),"En cours","À venir")))</f>
        <v/>
      </c>
    </row>
    <row r="180">
      <c r="A180" s="9" t="inlineStr">
        <is>
          <t>T14-2627-003</t>
        </is>
      </c>
      <c r="B180" s="9" t="inlineStr">
        <is>
          <t>Rugby</t>
        </is>
      </c>
      <c r="C180" s="9" t="inlineStr">
        <is>
          <t>Top 14</t>
        </is>
      </c>
      <c r="D180" s="9" t="inlineStr">
        <is>
          <t>2026-2027</t>
        </is>
      </c>
      <c r="E180" s="9" t="inlineStr">
        <is>
          <t>Saison régulière</t>
        </is>
      </c>
      <c r="F180" s="9" t="n">
        <v>3</v>
      </c>
      <c r="G180" s="9" t="inlineStr">
        <is>
          <t>Top 14 – Journée 3</t>
        </is>
      </c>
      <c r="H180" s="10" t="n">
        <v>46284</v>
      </c>
      <c r="I180" s="10" t="n">
        <v>46285</v>
      </c>
      <c r="J180" s="11" t="n"/>
      <c r="K180" s="9" t="inlineStr">
        <is>
          <t>Europe/Paris</t>
        </is>
      </c>
      <c r="L180" s="9" t="n"/>
      <c r="M180" s="9" t="inlineStr">
        <is>
          <t>France</t>
        </is>
      </c>
      <c r="N180" s="9" t="inlineStr">
        <is>
          <t>Hommes</t>
        </is>
      </c>
      <c r="O180" s="9" t="inlineStr">
        <is>
          <t>Officiel</t>
        </is>
      </c>
      <c r="P180" s="9" t="inlineStr">
        <is>
          <t>Oui</t>
        </is>
      </c>
      <c r="Q180" s="9" t="inlineStr">
        <is>
          <t>https://top14.lnr.fr/calendrier-et-resultats/2026-2027/j3</t>
        </is>
      </c>
      <c r="R180" s="10" t="n">
        <v>46311</v>
      </c>
      <c r="S180" s="9" t="n"/>
      <c r="T180" s="9">
        <f>IF(H180="","",IF(MAX(H180,I180)&lt;TODAY(),"Terminé",IF(H180&lt;=TODAY(),"En cours","À venir")))</f>
        <v/>
      </c>
    </row>
    <row r="181">
      <c r="A181" s="9" t="inlineStr">
        <is>
          <t>T14-2627-004</t>
        </is>
      </c>
      <c r="B181" s="9" t="inlineStr">
        <is>
          <t>Rugby</t>
        </is>
      </c>
      <c r="C181" s="9" t="inlineStr">
        <is>
          <t>Top 14</t>
        </is>
      </c>
      <c r="D181" s="9" t="inlineStr">
        <is>
          <t>2026-2027</t>
        </is>
      </c>
      <c r="E181" s="9" t="inlineStr">
        <is>
          <t>Saison régulière</t>
        </is>
      </c>
      <c r="F181" s="9" t="n">
        <v>4</v>
      </c>
      <c r="G181" s="9" t="inlineStr">
        <is>
          <t>Top 14 – Journée 4</t>
        </is>
      </c>
      <c r="H181" s="10" t="n">
        <v>46291</v>
      </c>
      <c r="I181" s="10" t="n">
        <v>46292</v>
      </c>
      <c r="J181" s="11" t="n"/>
      <c r="K181" s="9" t="inlineStr">
        <is>
          <t>Europe/Paris</t>
        </is>
      </c>
      <c r="L181" s="9" t="n"/>
      <c r="M181" s="9" t="inlineStr">
        <is>
          <t>France</t>
        </is>
      </c>
      <c r="N181" s="9" t="inlineStr">
        <is>
          <t>Hommes</t>
        </is>
      </c>
      <c r="O181" s="9" t="inlineStr">
        <is>
          <t>Officiel</t>
        </is>
      </c>
      <c r="P181" s="9" t="inlineStr">
        <is>
          <t>Oui</t>
        </is>
      </c>
      <c r="Q181" s="9" t="inlineStr">
        <is>
          <t>https://top14.lnr.fr/calendrier-et-resultats/2026-2027/j4</t>
        </is>
      </c>
      <c r="R181" s="10" t="n">
        <v>46311</v>
      </c>
      <c r="S181" s="9" t="n"/>
      <c r="T181" s="9">
        <f>IF(H181="","",IF(MAX(H181,I181)&lt;TODAY(),"Terminé",IF(H181&lt;=TODAY(),"En cours","À venir")))</f>
        <v/>
      </c>
    </row>
    <row r="182">
      <c r="A182" s="9" t="inlineStr">
        <is>
          <t>T14-2627-005</t>
        </is>
      </c>
      <c r="B182" s="9" t="inlineStr">
        <is>
          <t>Rugby</t>
        </is>
      </c>
      <c r="C182" s="9" t="inlineStr">
        <is>
          <t>Top 14</t>
        </is>
      </c>
      <c r="D182" s="9" t="inlineStr">
        <is>
          <t>2026-2027</t>
        </is>
      </c>
      <c r="E182" s="9" t="inlineStr">
        <is>
          <t>Saison régulière</t>
        </is>
      </c>
      <c r="F182" s="9" t="n">
        <v>5</v>
      </c>
      <c r="G182" s="9" t="inlineStr">
        <is>
          <t>Top 14 – Journée 5</t>
        </is>
      </c>
      <c r="H182" s="10" t="n">
        <v>46298</v>
      </c>
      <c r="I182" s="10" t="n">
        <v>46299</v>
      </c>
      <c r="J182" s="11" t="n"/>
      <c r="K182" s="9" t="inlineStr">
        <is>
          <t>Europe/Paris</t>
        </is>
      </c>
      <c r="L182" s="9" t="n"/>
      <c r="M182" s="9" t="inlineStr">
        <is>
          <t>France</t>
        </is>
      </c>
      <c r="N182" s="9" t="inlineStr">
        <is>
          <t>Hommes</t>
        </is>
      </c>
      <c r="O182" s="9" t="inlineStr">
        <is>
          <t>Officiel</t>
        </is>
      </c>
      <c r="P182" s="9" t="inlineStr">
        <is>
          <t>Oui</t>
        </is>
      </c>
      <c r="Q182" s="9" t="inlineStr">
        <is>
          <t>https://top14.lnr.fr/calendrier-et-resultats/2026-2027/j5</t>
        </is>
      </c>
      <c r="R182" s="10" t="n">
        <v>46311</v>
      </c>
      <c r="S182" s="9" t="n"/>
      <c r="T182" s="9">
        <f>IF(H182="","",IF(MAX(H182,I182)&lt;TODAY(),"Terminé",IF(H182&lt;=TODAY(),"En cours","À venir")))</f>
        <v/>
      </c>
    </row>
    <row r="183">
      <c r="A183" s="9" t="inlineStr">
        <is>
          <t>T14-2627-006</t>
        </is>
      </c>
      <c r="B183" s="9" t="inlineStr">
        <is>
          <t>Rugby</t>
        </is>
      </c>
      <c r="C183" s="9" t="inlineStr">
        <is>
          <t>Top 14</t>
        </is>
      </c>
      <c r="D183" s="9" t="inlineStr">
        <is>
          <t>2026-2027</t>
        </is>
      </c>
      <c r="E183" s="9" t="inlineStr">
        <is>
          <t>Saison régulière</t>
        </is>
      </c>
      <c r="F183" s="9" t="n">
        <v>6</v>
      </c>
      <c r="G183" s="9" t="inlineStr">
        <is>
          <t>Top 14 – Journée 6</t>
        </is>
      </c>
      <c r="H183" s="10" t="n">
        <v>46305</v>
      </c>
      <c r="I183" s="10" t="n">
        <v>46306</v>
      </c>
      <c r="J183" s="11" t="n"/>
      <c r="K183" s="9" t="inlineStr">
        <is>
          <t>Europe/Paris</t>
        </is>
      </c>
      <c r="L183" s="9" t="n"/>
      <c r="M183" s="9" t="inlineStr">
        <is>
          <t>France</t>
        </is>
      </c>
      <c r="N183" s="9" t="inlineStr">
        <is>
          <t>Hommes</t>
        </is>
      </c>
      <c r="O183" s="9" t="inlineStr">
        <is>
          <t>Officiel</t>
        </is>
      </c>
      <c r="P183" s="9" t="inlineStr">
        <is>
          <t>Oui</t>
        </is>
      </c>
      <c r="Q183" s="9" t="inlineStr">
        <is>
          <t>https://top14.lnr.fr/calendrier-et-resultats/2026-2027/j6</t>
        </is>
      </c>
      <c r="R183" s="10" t="n">
        <v>46311</v>
      </c>
      <c r="S183" s="9" t="n"/>
      <c r="T183" s="9">
        <f>IF(H183="","",IF(MAX(H183,I183)&lt;TODAY(),"Terminé",IF(H183&lt;=TODAY(),"En cours","À venir")))</f>
        <v/>
      </c>
    </row>
    <row r="184">
      <c r="A184" s="9" t="inlineStr">
        <is>
          <t>T14-2627-007</t>
        </is>
      </c>
      <c r="B184" s="9" t="inlineStr">
        <is>
          <t>Rugby</t>
        </is>
      </c>
      <c r="C184" s="9" t="inlineStr">
        <is>
          <t>Top 14</t>
        </is>
      </c>
      <c r="D184" s="9" t="inlineStr">
        <is>
          <t>2026-2027</t>
        </is>
      </c>
      <c r="E184" s="9" t="inlineStr">
        <is>
          <t>Saison régulière</t>
        </is>
      </c>
      <c r="F184" s="9" t="n">
        <v>7</v>
      </c>
      <c r="G184" s="9" t="inlineStr">
        <is>
          <t>Top 14 – Journée 7</t>
        </is>
      </c>
      <c r="H184" s="10" t="n">
        <v>46319</v>
      </c>
      <c r="I184" s="10" t="n">
        <v>46320</v>
      </c>
      <c r="J184" s="11" t="n"/>
      <c r="K184" s="9" t="inlineStr">
        <is>
          <t>Europe/Paris</t>
        </is>
      </c>
      <c r="L184" s="9" t="n"/>
      <c r="M184" s="9" t="inlineStr">
        <is>
          <t>France</t>
        </is>
      </c>
      <c r="N184" s="9" t="inlineStr">
        <is>
          <t>Hommes</t>
        </is>
      </c>
      <c r="O184" s="9" t="inlineStr">
        <is>
          <t>Officiel</t>
        </is>
      </c>
      <c r="P184" s="9" t="inlineStr">
        <is>
          <t>Oui</t>
        </is>
      </c>
      <c r="Q184" s="9" t="inlineStr">
        <is>
          <t>https://top14.lnr.fr/calendrier-et-resultats/2026-2027/j7</t>
        </is>
      </c>
      <c r="R184" s="10" t="n">
        <v>46311</v>
      </c>
      <c r="S184" s="9" t="n"/>
      <c r="T184" s="9">
        <f>IF(H184="","",IF(MAX(H184,I184)&lt;TODAY(),"Terminé",IF(H184&lt;=TODAY(),"En cours","À venir")))</f>
        <v/>
      </c>
    </row>
    <row r="185">
      <c r="A185" s="9" t="inlineStr">
        <is>
          <t>T14-2627-008</t>
        </is>
      </c>
      <c r="B185" s="9" t="inlineStr">
        <is>
          <t>Rugby</t>
        </is>
      </c>
      <c r="C185" s="9" t="inlineStr">
        <is>
          <t>Top 14</t>
        </is>
      </c>
      <c r="D185" s="9" t="inlineStr">
        <is>
          <t>2026-2027</t>
        </is>
      </c>
      <c r="E185" s="9" t="inlineStr">
        <is>
          <t>Saison régulière</t>
        </is>
      </c>
      <c r="F185" s="9" t="n">
        <v>8</v>
      </c>
      <c r="G185" s="9" t="inlineStr">
        <is>
          <t>Top 14 – Journée 8</t>
        </is>
      </c>
      <c r="H185" s="10" t="n">
        <v>46326</v>
      </c>
      <c r="I185" s="10" t="n">
        <v>46327</v>
      </c>
      <c r="J185" s="11" t="n"/>
      <c r="K185" s="9" t="inlineStr">
        <is>
          <t>Europe/Paris</t>
        </is>
      </c>
      <c r="L185" s="9" t="n"/>
      <c r="M185" s="9" t="inlineStr">
        <is>
          <t>France</t>
        </is>
      </c>
      <c r="N185" s="9" t="inlineStr">
        <is>
          <t>Hommes</t>
        </is>
      </c>
      <c r="O185" s="9" t="inlineStr">
        <is>
          <t>Officiel</t>
        </is>
      </c>
      <c r="P185" s="9" t="inlineStr">
        <is>
          <t>Oui</t>
        </is>
      </c>
      <c r="Q185" s="9" t="inlineStr">
        <is>
          <t>https://top14.lnr.fr/calendrier-et-resultats/2026-2027/j8</t>
        </is>
      </c>
      <c r="R185" s="10" t="n">
        <v>46311</v>
      </c>
      <c r="S185" s="9" t="n"/>
      <c r="T185" s="9">
        <f>IF(H185="","",IF(MAX(H185,I185)&lt;TODAY(),"Terminé",IF(H185&lt;=TODAY(),"En cours","À venir")))</f>
        <v/>
      </c>
    </row>
    <row r="186">
      <c r="A186" s="9" t="inlineStr">
        <is>
          <t>T14-2627-009</t>
        </is>
      </c>
      <c r="B186" s="9" t="inlineStr">
        <is>
          <t>Rugby</t>
        </is>
      </c>
      <c r="C186" s="9" t="inlineStr">
        <is>
          <t>Top 14</t>
        </is>
      </c>
      <c r="D186" s="9" t="inlineStr">
        <is>
          <t>2026-2027</t>
        </is>
      </c>
      <c r="E186" s="9" t="inlineStr">
        <is>
          <t>Saison régulière</t>
        </is>
      </c>
      <c r="F186" s="9" t="n">
        <v>9</v>
      </c>
      <c r="G186" s="9" t="inlineStr">
        <is>
          <t>Top 14 – Journée 9</t>
        </is>
      </c>
      <c r="H186" s="10" t="n">
        <v>46333</v>
      </c>
      <c r="I186" s="10" t="n">
        <v>46334</v>
      </c>
      <c r="J186" s="11" t="n"/>
      <c r="K186" s="9" t="inlineStr">
        <is>
          <t>Europe/Paris</t>
        </is>
      </c>
      <c r="L186" s="9" t="n"/>
      <c r="M186" s="9" t="inlineStr">
        <is>
          <t>France</t>
        </is>
      </c>
      <c r="N186" s="9" t="inlineStr">
        <is>
          <t>Hommes</t>
        </is>
      </c>
      <c r="O186" s="9" t="inlineStr">
        <is>
          <t>Officiel</t>
        </is>
      </c>
      <c r="P186" s="9" t="inlineStr">
        <is>
          <t>Oui</t>
        </is>
      </c>
      <c r="Q186" s="9" t="inlineStr">
        <is>
          <t>https://top14.lnr.fr/calendrier-et-resultats/2026-2027/j9</t>
        </is>
      </c>
      <c r="R186" s="10" t="n">
        <v>46311</v>
      </c>
      <c r="S186" s="9" t="n"/>
      <c r="T186" s="9">
        <f>IF(H186="","",IF(MAX(H186,I186)&lt;TODAY(),"Terminé",IF(H186&lt;=TODAY(),"En cours","À venir")))</f>
        <v/>
      </c>
    </row>
    <row r="187">
      <c r="A187" s="9" t="inlineStr">
        <is>
          <t>T14-2627-010</t>
        </is>
      </c>
      <c r="B187" s="9" t="inlineStr">
        <is>
          <t>Rugby</t>
        </is>
      </c>
      <c r="C187" s="9" t="inlineStr">
        <is>
          <t>Top 14</t>
        </is>
      </c>
      <c r="D187" s="9" t="inlineStr">
        <is>
          <t>2026-2027</t>
        </is>
      </c>
      <c r="E187" s="9" t="inlineStr">
        <is>
          <t>Saison régulière</t>
        </is>
      </c>
      <c r="F187" s="9" t="n">
        <v>10</v>
      </c>
      <c r="G187" s="9" t="inlineStr">
        <is>
          <t>Top 14 – Journée 10</t>
        </is>
      </c>
      <c r="H187" s="10" t="n">
        <v>46354</v>
      </c>
      <c r="I187" s="10" t="n">
        <v>46355</v>
      </c>
      <c r="J187" s="11" t="n"/>
      <c r="K187" s="9" t="inlineStr">
        <is>
          <t>Europe/Paris</t>
        </is>
      </c>
      <c r="L187" s="9" t="n"/>
      <c r="M187" s="9" t="inlineStr">
        <is>
          <t>France</t>
        </is>
      </c>
      <c r="N187" s="9" t="inlineStr">
        <is>
          <t>Hommes</t>
        </is>
      </c>
      <c r="O187" s="9" t="inlineStr">
        <is>
          <t>Officiel</t>
        </is>
      </c>
      <c r="P187" s="9" t="inlineStr">
        <is>
          <t>Oui</t>
        </is>
      </c>
      <c r="Q187" s="9" t="inlineStr">
        <is>
          <t>https://top14.lnr.fr/calendrier-et-resultats/2026-2027/j10</t>
        </is>
      </c>
      <c r="R187" s="10" t="n">
        <v>46311</v>
      </c>
      <c r="S187" s="9" t="n"/>
      <c r="T187" s="9">
        <f>IF(H187="","",IF(MAX(H187,I187)&lt;TODAY(),"Terminé",IF(H187&lt;=TODAY(),"En cours","À venir")))</f>
        <v/>
      </c>
    </row>
    <row r="188">
      <c r="A188" s="9" t="inlineStr">
        <is>
          <t>T14-2627-011</t>
        </is>
      </c>
      <c r="B188" s="9" t="inlineStr">
        <is>
          <t>Rugby</t>
        </is>
      </c>
      <c r="C188" s="9" t="inlineStr">
        <is>
          <t>Top 14</t>
        </is>
      </c>
      <c r="D188" s="9" t="inlineStr">
        <is>
          <t>2026-2027</t>
        </is>
      </c>
      <c r="E188" s="9" t="inlineStr">
        <is>
          <t>Saison régulière</t>
        </is>
      </c>
      <c r="F188" s="9" t="n">
        <v>11</v>
      </c>
      <c r="G188" s="9" t="inlineStr">
        <is>
          <t>Top 14 – Journée 11</t>
        </is>
      </c>
      <c r="H188" s="10" t="n">
        <v>46361</v>
      </c>
      <c r="I188" s="10" t="n">
        <v>46362</v>
      </c>
      <c r="J188" s="11" t="n"/>
      <c r="K188" s="9" t="inlineStr">
        <is>
          <t>Europe/Paris</t>
        </is>
      </c>
      <c r="L188" s="9" t="n"/>
      <c r="M188" s="9" t="inlineStr">
        <is>
          <t>France</t>
        </is>
      </c>
      <c r="N188" s="9" t="inlineStr">
        <is>
          <t>Hommes</t>
        </is>
      </c>
      <c r="O188" s="9" t="inlineStr">
        <is>
          <t>Officiel</t>
        </is>
      </c>
      <c r="P188" s="9" t="inlineStr">
        <is>
          <t>Oui</t>
        </is>
      </c>
      <c r="Q188" s="9" t="inlineStr">
        <is>
          <t>https://top14.lnr.fr/calendrier-et-resultats/2026-2027/j11</t>
        </is>
      </c>
      <c r="R188" s="10" t="n">
        <v>46311</v>
      </c>
      <c r="S188" s="9" t="n"/>
      <c r="T188" s="9">
        <f>IF(H188="","",IF(MAX(H188,I188)&lt;TODAY(),"Terminé",IF(H188&lt;=TODAY(),"En cours","À venir")))</f>
        <v/>
      </c>
    </row>
    <row r="189">
      <c r="A189" s="9" t="inlineStr">
        <is>
          <t>T14-2627-012</t>
        </is>
      </c>
      <c r="B189" s="9" t="inlineStr">
        <is>
          <t>Rugby</t>
        </is>
      </c>
      <c r="C189" s="9" t="inlineStr">
        <is>
          <t>Top 14</t>
        </is>
      </c>
      <c r="D189" s="9" t="inlineStr">
        <is>
          <t>2026-2027</t>
        </is>
      </c>
      <c r="E189" s="9" t="inlineStr">
        <is>
          <t>Saison régulière</t>
        </is>
      </c>
      <c r="F189" s="9" t="n">
        <v>12</v>
      </c>
      <c r="G189" s="9" t="inlineStr">
        <is>
          <t>Top 14 – Journée 12</t>
        </is>
      </c>
      <c r="H189" s="10" t="n">
        <v>46375</v>
      </c>
      <c r="I189" s="10" t="n">
        <v>46376</v>
      </c>
      <c r="J189" s="11" t="n"/>
      <c r="K189" s="9" t="inlineStr">
        <is>
          <t>Europe/Paris</t>
        </is>
      </c>
      <c r="L189" s="9" t="n"/>
      <c r="M189" s="9" t="inlineStr">
        <is>
          <t>France</t>
        </is>
      </c>
      <c r="N189" s="9" t="inlineStr">
        <is>
          <t>Hommes</t>
        </is>
      </c>
      <c r="O189" s="9" t="inlineStr">
        <is>
          <t>Officiel</t>
        </is>
      </c>
      <c r="P189" s="9" t="inlineStr">
        <is>
          <t>Oui</t>
        </is>
      </c>
      <c r="Q189" s="9" t="inlineStr">
        <is>
          <t>https://top14.lnr.fr/calendrier-et-resultats/2026-2027/j12</t>
        </is>
      </c>
      <c r="R189" s="10" t="n">
        <v>46311</v>
      </c>
      <c r="S189" s="9" t="n"/>
      <c r="T189" s="9">
        <f>IF(H189="","",IF(MAX(H189,I189)&lt;TODAY(),"Terminé",IF(H189&lt;=TODAY(),"En cours","À venir")))</f>
        <v/>
      </c>
    </row>
    <row r="190">
      <c r="A190" s="9" t="inlineStr">
        <is>
          <t>T14-2627-013</t>
        </is>
      </c>
      <c r="B190" s="9" t="inlineStr">
        <is>
          <t>Rugby</t>
        </is>
      </c>
      <c r="C190" s="9" t="inlineStr">
        <is>
          <t>Top 14</t>
        </is>
      </c>
      <c r="D190" s="9" t="inlineStr">
        <is>
          <t>2026-2027</t>
        </is>
      </c>
      <c r="E190" s="9" t="inlineStr">
        <is>
          <t>Saison régulière</t>
        </is>
      </c>
      <c r="F190" s="9" t="n">
        <v>13</v>
      </c>
      <c r="G190" s="9" t="inlineStr">
        <is>
          <t>Top 14 – Journée 13</t>
        </is>
      </c>
      <c r="H190" s="10" t="n">
        <v>46382</v>
      </c>
      <c r="I190" s="10" t="n">
        <v>46383</v>
      </c>
      <c r="J190" s="11" t="n"/>
      <c r="K190" s="9" t="inlineStr">
        <is>
          <t>Europe/Paris</t>
        </is>
      </c>
      <c r="L190" s="9" t="n"/>
      <c r="M190" s="9" t="inlineStr">
        <is>
          <t>France</t>
        </is>
      </c>
      <c r="N190" s="9" t="inlineStr">
        <is>
          <t>Hommes</t>
        </is>
      </c>
      <c r="O190" s="9" t="inlineStr">
        <is>
          <t>Officiel</t>
        </is>
      </c>
      <c r="P190" s="9" t="inlineStr">
        <is>
          <t>Oui</t>
        </is>
      </c>
      <c r="Q190" s="9" t="inlineStr">
        <is>
          <t>https://top14.lnr.fr/calendrier-et-resultats/2026-2027/j13</t>
        </is>
      </c>
      <c r="R190" s="10" t="n">
        <v>46311</v>
      </c>
      <c r="S190" s="9" t="inlineStr">
        <is>
          <t>Boxing Day (dimanche 27 décembre)</t>
        </is>
      </c>
      <c r="T190" s="9">
        <f>IF(H190="","",IF(MAX(H190,I190)&lt;TODAY(),"Terminé",IF(H190&lt;=TODAY(),"En cours","À venir")))</f>
        <v/>
      </c>
    </row>
    <row r="191">
      <c r="A191" s="9" t="inlineStr">
        <is>
          <t>T14-2627-014</t>
        </is>
      </c>
      <c r="B191" s="9" t="inlineStr">
        <is>
          <t>Rugby</t>
        </is>
      </c>
      <c r="C191" s="9" t="inlineStr">
        <is>
          <t>Top 14</t>
        </is>
      </c>
      <c r="D191" s="9" t="inlineStr">
        <is>
          <t>2026-2027</t>
        </is>
      </c>
      <c r="E191" s="9" t="inlineStr">
        <is>
          <t>Saison régulière</t>
        </is>
      </c>
      <c r="F191" s="9" t="n">
        <v>14</v>
      </c>
      <c r="G191" s="9" t="inlineStr">
        <is>
          <t>Top 14 – Journée 14</t>
        </is>
      </c>
      <c r="H191" s="10" t="n">
        <v>46389</v>
      </c>
      <c r="I191" s="10" t="n">
        <v>46390</v>
      </c>
      <c r="J191" s="11" t="n"/>
      <c r="K191" s="9" t="inlineStr">
        <is>
          <t>Europe/Paris</t>
        </is>
      </c>
      <c r="L191" s="9" t="n"/>
      <c r="M191" s="9" t="inlineStr">
        <is>
          <t>France</t>
        </is>
      </c>
      <c r="N191" s="9" t="inlineStr">
        <is>
          <t>Hommes</t>
        </is>
      </c>
      <c r="O191" s="9" t="inlineStr">
        <is>
          <t>Provisoire</t>
        </is>
      </c>
      <c r="P191" s="9" t="inlineStr">
        <is>
          <t>Oui</t>
        </is>
      </c>
      <c r="Q191" s="9" t="inlineStr">
        <is>
          <t>https://assets.lnr.fr/2/9/4/0/4/6/TOP14_Calendrier_26-27_52f176c3bd1630dc2d08bce2b2edfa7b.pdf</t>
        </is>
      </c>
      <c r="R191" s="10" t="n">
        <v>46311</v>
      </c>
      <c r="S191" s="9" t="inlineStr">
        <is>
          <t>Week-end selon calendrier LNR ; jours et horaires à fixer</t>
        </is>
      </c>
      <c r="T191" s="9">
        <f>IF(H191="","",IF(MAX(H191,I191)&lt;TODAY(),"Terminé",IF(H191&lt;=TODAY(),"En cours","À venir")))</f>
        <v/>
      </c>
    </row>
    <row r="192">
      <c r="A192" s="9" t="inlineStr">
        <is>
          <t>T14-2627-015</t>
        </is>
      </c>
      <c r="B192" s="9" t="inlineStr">
        <is>
          <t>Rugby</t>
        </is>
      </c>
      <c r="C192" s="9" t="inlineStr">
        <is>
          <t>Top 14</t>
        </is>
      </c>
      <c r="D192" s="9" t="inlineStr">
        <is>
          <t>2026-2027</t>
        </is>
      </c>
      <c r="E192" s="9" t="inlineStr">
        <is>
          <t>Saison régulière</t>
        </is>
      </c>
      <c r="F192" s="9" t="n">
        <v>15</v>
      </c>
      <c r="G192" s="9" t="inlineStr">
        <is>
          <t>Top 14 – Journée 15</t>
        </is>
      </c>
      <c r="H192" s="10" t="n">
        <v>46410</v>
      </c>
      <c r="I192" s="10" t="n">
        <v>46411</v>
      </c>
      <c r="J192" s="11" t="n"/>
      <c r="K192" s="9" t="inlineStr">
        <is>
          <t>Europe/Paris</t>
        </is>
      </c>
      <c r="L192" s="9" t="n"/>
      <c r="M192" s="9" t="inlineStr">
        <is>
          <t>France</t>
        </is>
      </c>
      <c r="N192" s="9" t="inlineStr">
        <is>
          <t>Hommes</t>
        </is>
      </c>
      <c r="O192" s="9" t="inlineStr">
        <is>
          <t>Provisoire</t>
        </is>
      </c>
      <c r="P192" s="9" t="inlineStr">
        <is>
          <t>Oui</t>
        </is>
      </c>
      <c r="Q192" s="9" t="inlineStr">
        <is>
          <t>https://assets.lnr.fr/2/9/4/0/4/6/TOP14_Calendrier_26-27_52f176c3bd1630dc2d08bce2b2edfa7b.pdf</t>
        </is>
      </c>
      <c r="R192" s="10" t="n">
        <v>46311</v>
      </c>
      <c r="S192" s="9" t="inlineStr">
        <is>
          <t>Week-end selon calendrier LNR ; jours et horaires à fixer</t>
        </is>
      </c>
      <c r="T192" s="9">
        <f>IF(H192="","",IF(MAX(H192,I192)&lt;TODAY(),"Terminé",IF(H192&lt;=TODAY(),"En cours","À venir")))</f>
        <v/>
      </c>
    </row>
    <row r="193">
      <c r="A193" s="9" t="inlineStr">
        <is>
          <t>T14-2627-016</t>
        </is>
      </c>
      <c r="B193" s="9" t="inlineStr">
        <is>
          <t>Rugby</t>
        </is>
      </c>
      <c r="C193" s="9" t="inlineStr">
        <is>
          <t>Top 14</t>
        </is>
      </c>
      <c r="D193" s="9" t="inlineStr">
        <is>
          <t>2026-2027</t>
        </is>
      </c>
      <c r="E193" s="9" t="inlineStr">
        <is>
          <t>Saison régulière</t>
        </is>
      </c>
      <c r="F193" s="9" t="n">
        <v>16</v>
      </c>
      <c r="G193" s="9" t="inlineStr">
        <is>
          <t>Top 14 – Journée 16</t>
        </is>
      </c>
      <c r="H193" s="10" t="n">
        <v>46417</v>
      </c>
      <c r="I193" s="10" t="n">
        <v>46418</v>
      </c>
      <c r="J193" s="11" t="n"/>
      <c r="K193" s="9" t="inlineStr">
        <is>
          <t>Europe/Paris</t>
        </is>
      </c>
      <c r="L193" s="9" t="n"/>
      <c r="M193" s="9" t="inlineStr">
        <is>
          <t>France</t>
        </is>
      </c>
      <c r="N193" s="9" t="inlineStr">
        <is>
          <t>Hommes</t>
        </is>
      </c>
      <c r="O193" s="9" t="inlineStr">
        <is>
          <t>Provisoire</t>
        </is>
      </c>
      <c r="P193" s="9" t="inlineStr">
        <is>
          <t>Oui</t>
        </is>
      </c>
      <c r="Q193" s="9" t="inlineStr">
        <is>
          <t>https://assets.lnr.fr/2/9/4/0/4/6/TOP14_Calendrier_26-27_52f176c3bd1630dc2d08bce2b2edfa7b.pdf</t>
        </is>
      </c>
      <c r="R193" s="10" t="n">
        <v>46311</v>
      </c>
      <c r="S193" s="9" t="inlineStr">
        <is>
          <t>Week-end selon calendrier LNR ; jours et horaires à fixer</t>
        </is>
      </c>
      <c r="T193" s="9">
        <f>IF(H193="","",IF(MAX(H193,I193)&lt;TODAY(),"Terminé",IF(H193&lt;=TODAY(),"En cours","À venir")))</f>
        <v/>
      </c>
    </row>
    <row r="194">
      <c r="A194" s="9" t="inlineStr">
        <is>
          <t>T14-2627-017</t>
        </is>
      </c>
      <c r="B194" s="9" t="inlineStr">
        <is>
          <t>Rugby</t>
        </is>
      </c>
      <c r="C194" s="9" t="inlineStr">
        <is>
          <t>Top 14</t>
        </is>
      </c>
      <c r="D194" s="9" t="inlineStr">
        <is>
          <t>2026-2027</t>
        </is>
      </c>
      <c r="E194" s="9" t="inlineStr">
        <is>
          <t>Saison régulière</t>
        </is>
      </c>
      <c r="F194" s="9" t="n">
        <v>17</v>
      </c>
      <c r="G194" s="9" t="inlineStr">
        <is>
          <t>Top 14 – Journée 17</t>
        </is>
      </c>
      <c r="H194" s="10" t="n">
        <v>46438</v>
      </c>
      <c r="I194" s="10" t="n">
        <v>46439</v>
      </c>
      <c r="J194" s="11" t="n"/>
      <c r="K194" s="9" t="inlineStr">
        <is>
          <t>Europe/Paris</t>
        </is>
      </c>
      <c r="L194" s="9" t="n"/>
      <c r="M194" s="9" t="inlineStr">
        <is>
          <t>France</t>
        </is>
      </c>
      <c r="N194" s="9" t="inlineStr">
        <is>
          <t>Hommes</t>
        </is>
      </c>
      <c r="O194" s="9" t="inlineStr">
        <is>
          <t>Provisoire</t>
        </is>
      </c>
      <c r="P194" s="9" t="inlineStr">
        <is>
          <t>Oui</t>
        </is>
      </c>
      <c r="Q194" s="9" t="inlineStr">
        <is>
          <t>https://assets.lnr.fr/2/9/4/0/4/6/TOP14_Calendrier_26-27_52f176c3bd1630dc2d08bce2b2edfa7b.pdf</t>
        </is>
      </c>
      <c r="R194" s="10" t="n">
        <v>46311</v>
      </c>
      <c r="S194" s="9" t="inlineStr">
        <is>
          <t>Week-end selon calendrier LNR ; jours et horaires à fixer</t>
        </is>
      </c>
      <c r="T194" s="9">
        <f>IF(H194="","",IF(MAX(H194,I194)&lt;TODAY(),"Terminé",IF(H194&lt;=TODAY(),"En cours","À venir")))</f>
        <v/>
      </c>
    </row>
    <row r="195">
      <c r="A195" s="9" t="inlineStr">
        <is>
          <t>T14-2627-018</t>
        </is>
      </c>
      <c r="B195" s="9" t="inlineStr">
        <is>
          <t>Rugby</t>
        </is>
      </c>
      <c r="C195" s="9" t="inlineStr">
        <is>
          <t>Top 14</t>
        </is>
      </c>
      <c r="D195" s="9" t="inlineStr">
        <is>
          <t>2026-2027</t>
        </is>
      </c>
      <c r="E195" s="9" t="inlineStr">
        <is>
          <t>Saison régulière</t>
        </is>
      </c>
      <c r="F195" s="9" t="n">
        <v>18</v>
      </c>
      <c r="G195" s="9" t="inlineStr">
        <is>
          <t>Top 14 – Journée 18</t>
        </is>
      </c>
      <c r="H195" s="10" t="n">
        <v>46445</v>
      </c>
      <c r="I195" s="10" t="n">
        <v>46446</v>
      </c>
      <c r="J195" s="11" t="n"/>
      <c r="K195" s="9" t="inlineStr">
        <is>
          <t>Europe/Paris</t>
        </is>
      </c>
      <c r="L195" s="9" t="n"/>
      <c r="M195" s="9" t="inlineStr">
        <is>
          <t>France</t>
        </is>
      </c>
      <c r="N195" s="9" t="inlineStr">
        <is>
          <t>Hommes</t>
        </is>
      </c>
      <c r="O195" s="9" t="inlineStr">
        <is>
          <t>Provisoire</t>
        </is>
      </c>
      <c r="P195" s="9" t="inlineStr">
        <is>
          <t>Oui</t>
        </is>
      </c>
      <c r="Q195" s="9" t="inlineStr">
        <is>
          <t>https://assets.lnr.fr/2/9/4/0/4/6/TOP14_Calendrier_26-27_52f176c3bd1630dc2d08bce2b2edfa7b.pdf</t>
        </is>
      </c>
      <c r="R195" s="10" t="n">
        <v>46311</v>
      </c>
      <c r="S195" s="9" t="inlineStr">
        <is>
          <t>Week-end selon calendrier LNR ; jours et horaires à fixer</t>
        </is>
      </c>
      <c r="T195" s="9">
        <f>IF(H195="","",IF(MAX(H195,I195)&lt;TODAY(),"Terminé",IF(H195&lt;=TODAY(),"En cours","À venir")))</f>
        <v/>
      </c>
    </row>
    <row r="196">
      <c r="A196" s="9" t="inlineStr">
        <is>
          <t>T14-2627-019</t>
        </is>
      </c>
      <c r="B196" s="9" t="inlineStr">
        <is>
          <t>Rugby</t>
        </is>
      </c>
      <c r="C196" s="9" t="inlineStr">
        <is>
          <t>Top 14</t>
        </is>
      </c>
      <c r="D196" s="9" t="inlineStr">
        <is>
          <t>2026-2027</t>
        </is>
      </c>
      <c r="E196" s="9" t="inlineStr">
        <is>
          <t>Saison régulière</t>
        </is>
      </c>
      <c r="F196" s="9" t="n">
        <v>19</v>
      </c>
      <c r="G196" s="9" t="inlineStr">
        <is>
          <t>Top 14 – Journée 19</t>
        </is>
      </c>
      <c r="H196" s="10" t="n">
        <v>46466</v>
      </c>
      <c r="I196" s="10" t="n">
        <v>46467</v>
      </c>
      <c r="J196" s="11" t="n"/>
      <c r="K196" s="9" t="inlineStr">
        <is>
          <t>Europe/Paris</t>
        </is>
      </c>
      <c r="L196" s="9" t="n"/>
      <c r="M196" s="9" t="inlineStr">
        <is>
          <t>France</t>
        </is>
      </c>
      <c r="N196" s="9" t="inlineStr">
        <is>
          <t>Hommes</t>
        </is>
      </c>
      <c r="O196" s="9" t="inlineStr">
        <is>
          <t>Provisoire</t>
        </is>
      </c>
      <c r="P196" s="9" t="inlineStr">
        <is>
          <t>Oui</t>
        </is>
      </c>
      <c r="Q196" s="9" t="inlineStr">
        <is>
          <t>https://assets.lnr.fr/2/9/4/0/4/6/TOP14_Calendrier_26-27_52f176c3bd1630dc2d08bce2b2edfa7b.pdf</t>
        </is>
      </c>
      <c r="R196" s="10" t="n">
        <v>46311</v>
      </c>
      <c r="S196" s="9" t="inlineStr">
        <is>
          <t>Week-end selon calendrier LNR ; jours et horaires à fixer</t>
        </is>
      </c>
      <c r="T196" s="9">
        <f>IF(H196="","",IF(MAX(H196,I196)&lt;TODAY(),"Terminé",IF(H196&lt;=TODAY(),"En cours","À venir")))</f>
        <v/>
      </c>
    </row>
    <row r="197">
      <c r="A197" s="9" t="inlineStr">
        <is>
          <t>T14-2627-020</t>
        </is>
      </c>
      <c r="B197" s="9" t="inlineStr">
        <is>
          <t>Rugby</t>
        </is>
      </c>
      <c r="C197" s="9" t="inlineStr">
        <is>
          <t>Top 14</t>
        </is>
      </c>
      <c r="D197" s="9" t="inlineStr">
        <is>
          <t>2026-2027</t>
        </is>
      </c>
      <c r="E197" s="9" t="inlineStr">
        <is>
          <t>Saison régulière</t>
        </is>
      </c>
      <c r="F197" s="9" t="n">
        <v>20</v>
      </c>
      <c r="G197" s="9" t="inlineStr">
        <is>
          <t>Top 14 – Journée 20</t>
        </is>
      </c>
      <c r="H197" s="10" t="n">
        <v>46473</v>
      </c>
      <c r="I197" s="10" t="n">
        <v>46474</v>
      </c>
      <c r="J197" s="11" t="n"/>
      <c r="K197" s="9" t="inlineStr">
        <is>
          <t>Europe/Paris</t>
        </is>
      </c>
      <c r="L197" s="9" t="n"/>
      <c r="M197" s="9" t="inlineStr">
        <is>
          <t>France</t>
        </is>
      </c>
      <c r="N197" s="9" t="inlineStr">
        <is>
          <t>Hommes</t>
        </is>
      </c>
      <c r="O197" s="9" t="inlineStr">
        <is>
          <t>Provisoire</t>
        </is>
      </c>
      <c r="P197" s="9" t="inlineStr">
        <is>
          <t>Oui</t>
        </is>
      </c>
      <c r="Q197" s="9" t="inlineStr">
        <is>
          <t>https://assets.lnr.fr/2/9/4/0/4/6/TOP14_Calendrier_26-27_52f176c3bd1630dc2d08bce2b2edfa7b.pdf</t>
        </is>
      </c>
      <c r="R197" s="10" t="n">
        <v>46311</v>
      </c>
      <c r="S197" s="9" t="inlineStr">
        <is>
          <t>Week-end selon calendrier LNR ; jours et horaires à fixer</t>
        </is>
      </c>
      <c r="T197" s="9">
        <f>IF(H197="","",IF(MAX(H197,I197)&lt;TODAY(),"Terminé",IF(H197&lt;=TODAY(),"En cours","À venir")))</f>
        <v/>
      </c>
    </row>
    <row r="198">
      <c r="A198" s="9" t="inlineStr">
        <is>
          <t>T14-2627-021</t>
        </is>
      </c>
      <c r="B198" s="9" t="inlineStr">
        <is>
          <t>Rugby</t>
        </is>
      </c>
      <c r="C198" s="9" t="inlineStr">
        <is>
          <t>Top 14</t>
        </is>
      </c>
      <c r="D198" s="9" t="inlineStr">
        <is>
          <t>2026-2027</t>
        </is>
      </c>
      <c r="E198" s="9" t="inlineStr">
        <is>
          <t>Saison régulière</t>
        </is>
      </c>
      <c r="F198" s="9" t="n">
        <v>21</v>
      </c>
      <c r="G198" s="9" t="inlineStr">
        <is>
          <t>Top 14 – Journée 21</t>
        </is>
      </c>
      <c r="H198" s="10" t="n">
        <v>46494</v>
      </c>
      <c r="I198" s="10" t="n">
        <v>46495</v>
      </c>
      <c r="J198" s="11" t="n"/>
      <c r="K198" s="9" t="inlineStr">
        <is>
          <t>Europe/Paris</t>
        </is>
      </c>
      <c r="L198" s="9" t="n"/>
      <c r="M198" s="9" t="inlineStr">
        <is>
          <t>France</t>
        </is>
      </c>
      <c r="N198" s="9" t="inlineStr">
        <is>
          <t>Hommes</t>
        </is>
      </c>
      <c r="O198" s="9" t="inlineStr">
        <is>
          <t>Provisoire</t>
        </is>
      </c>
      <c r="P198" s="9" t="inlineStr">
        <is>
          <t>Oui</t>
        </is>
      </c>
      <c r="Q198" s="9" t="inlineStr">
        <is>
          <t>https://assets.lnr.fr/2/9/4/0/4/6/TOP14_Calendrier_26-27_52f176c3bd1630dc2d08bce2b2edfa7b.pdf</t>
        </is>
      </c>
      <c r="R198" s="10" t="n">
        <v>46311</v>
      </c>
      <c r="S198" s="9" t="inlineStr">
        <is>
          <t>Week-end selon calendrier LNR ; jours et horaires à fixer</t>
        </is>
      </c>
      <c r="T198" s="9">
        <f>IF(H198="","",IF(MAX(H198,I198)&lt;TODAY(),"Terminé",IF(H198&lt;=TODAY(),"En cours","À venir")))</f>
        <v/>
      </c>
    </row>
    <row r="199">
      <c r="A199" s="9" t="inlineStr">
        <is>
          <t>T14-2627-022</t>
        </is>
      </c>
      <c r="B199" s="9" t="inlineStr">
        <is>
          <t>Rugby</t>
        </is>
      </c>
      <c r="C199" s="9" t="inlineStr">
        <is>
          <t>Top 14</t>
        </is>
      </c>
      <c r="D199" s="9" t="inlineStr">
        <is>
          <t>2026-2027</t>
        </is>
      </c>
      <c r="E199" s="9" t="inlineStr">
        <is>
          <t>Saison régulière</t>
        </is>
      </c>
      <c r="F199" s="9" t="n">
        <v>22</v>
      </c>
      <c r="G199" s="9" t="inlineStr">
        <is>
          <t>Top 14 – Journée 22</t>
        </is>
      </c>
      <c r="H199" s="10" t="n">
        <v>46501</v>
      </c>
      <c r="I199" s="10" t="n">
        <v>46502</v>
      </c>
      <c r="J199" s="11" t="n"/>
      <c r="K199" s="9" t="inlineStr">
        <is>
          <t>Europe/Paris</t>
        </is>
      </c>
      <c r="L199" s="9" t="n"/>
      <c r="M199" s="9" t="inlineStr">
        <is>
          <t>France</t>
        </is>
      </c>
      <c r="N199" s="9" t="inlineStr">
        <is>
          <t>Hommes</t>
        </is>
      </c>
      <c r="O199" s="9" t="inlineStr">
        <is>
          <t>Provisoire</t>
        </is>
      </c>
      <c r="P199" s="9" t="inlineStr">
        <is>
          <t>Oui</t>
        </is>
      </c>
      <c r="Q199" s="9" t="inlineStr">
        <is>
          <t>https://assets.lnr.fr/2/9/4/0/4/6/TOP14_Calendrier_26-27_52f176c3bd1630dc2d08bce2b2edfa7b.pdf</t>
        </is>
      </c>
      <c r="R199" s="10" t="n">
        <v>46311</v>
      </c>
      <c r="S199" s="9" t="inlineStr">
        <is>
          <t>Fan Days (samedi 24 avril)</t>
        </is>
      </c>
      <c r="T199" s="9">
        <f>IF(H199="","",IF(MAX(H199,I199)&lt;TODAY(),"Terminé",IF(H199&lt;=TODAY(),"En cours","À venir")))</f>
        <v/>
      </c>
    </row>
    <row r="200">
      <c r="A200" s="9" t="inlineStr">
        <is>
          <t>T14-2627-023</t>
        </is>
      </c>
      <c r="B200" s="9" t="inlineStr">
        <is>
          <t>Rugby</t>
        </is>
      </c>
      <c r="C200" s="9" t="inlineStr">
        <is>
          <t>Top 14</t>
        </is>
      </c>
      <c r="D200" s="9" t="inlineStr">
        <is>
          <t>2026-2027</t>
        </is>
      </c>
      <c r="E200" s="9" t="inlineStr">
        <is>
          <t>Saison régulière</t>
        </is>
      </c>
      <c r="F200" s="9" t="n">
        <v>23</v>
      </c>
      <c r="G200" s="9" t="inlineStr">
        <is>
          <t>Top 14 – Journée 23</t>
        </is>
      </c>
      <c r="H200" s="10" t="n">
        <v>46515</v>
      </c>
      <c r="I200" s="10" t="n">
        <v>46516</v>
      </c>
      <c r="J200" s="11" t="n"/>
      <c r="K200" s="9" t="inlineStr">
        <is>
          <t>Europe/Paris</t>
        </is>
      </c>
      <c r="L200" s="9" t="n"/>
      <c r="M200" s="9" t="inlineStr">
        <is>
          <t>France</t>
        </is>
      </c>
      <c r="N200" s="9" t="inlineStr">
        <is>
          <t>Hommes</t>
        </is>
      </c>
      <c r="O200" s="9" t="inlineStr">
        <is>
          <t>Provisoire</t>
        </is>
      </c>
      <c r="P200" s="9" t="inlineStr">
        <is>
          <t>Oui</t>
        </is>
      </c>
      <c r="Q200" s="9" t="inlineStr">
        <is>
          <t>https://assets.lnr.fr/2/9/4/0/4/6/TOP14_Calendrier_26-27_52f176c3bd1630dc2d08bce2b2edfa7b.pdf</t>
        </is>
      </c>
      <c r="R200" s="10" t="n">
        <v>46311</v>
      </c>
      <c r="S200" s="9" t="inlineStr">
        <is>
          <t>Week-end selon calendrier LNR ; jours et horaires à fixer</t>
        </is>
      </c>
      <c r="T200" s="9">
        <f>IF(H200="","",IF(MAX(H200,I200)&lt;TODAY(),"Terminé",IF(H200&lt;=TODAY(),"En cours","À venir")))</f>
        <v/>
      </c>
    </row>
    <row r="201">
      <c r="A201" s="9" t="inlineStr">
        <is>
          <t>T14-2627-024</t>
        </is>
      </c>
      <c r="B201" s="9" t="inlineStr">
        <is>
          <t>Rugby</t>
        </is>
      </c>
      <c r="C201" s="9" t="inlineStr">
        <is>
          <t>Top 14</t>
        </is>
      </c>
      <c r="D201" s="9" t="inlineStr">
        <is>
          <t>2026-2027</t>
        </is>
      </c>
      <c r="E201" s="9" t="inlineStr">
        <is>
          <t>Saison régulière</t>
        </is>
      </c>
      <c r="F201" s="9" t="n">
        <v>24</v>
      </c>
      <c r="G201" s="9" t="inlineStr">
        <is>
          <t>Top 14 – Journée 24</t>
        </is>
      </c>
      <c r="H201" s="10" t="n">
        <v>46522</v>
      </c>
      <c r="I201" s="10" t="n">
        <v>46523</v>
      </c>
      <c r="J201" s="11" t="n"/>
      <c r="K201" s="9" t="inlineStr">
        <is>
          <t>Europe/Paris</t>
        </is>
      </c>
      <c r="L201" s="9" t="n"/>
      <c r="M201" s="9" t="inlineStr">
        <is>
          <t>France</t>
        </is>
      </c>
      <c r="N201" s="9" t="inlineStr">
        <is>
          <t>Hommes</t>
        </is>
      </c>
      <c r="O201" s="9" t="inlineStr">
        <is>
          <t>Provisoire</t>
        </is>
      </c>
      <c r="P201" s="9" t="inlineStr">
        <is>
          <t>Oui</t>
        </is>
      </c>
      <c r="Q201" s="9" t="inlineStr">
        <is>
          <t>https://assets.lnr.fr/2/9/4/0/4/6/TOP14_Calendrier_26-27_52f176c3bd1630dc2d08bce2b2edfa7b.pdf</t>
        </is>
      </c>
      <c r="R201" s="10" t="n">
        <v>46311</v>
      </c>
      <c r="S201" s="9" t="inlineStr">
        <is>
          <t>Week-end selon calendrier LNR ; jours et horaires à fixer</t>
        </is>
      </c>
      <c r="T201" s="9">
        <f>IF(H201="","",IF(MAX(H201,I201)&lt;TODAY(),"Terminé",IF(H201&lt;=TODAY(),"En cours","À venir")))</f>
        <v/>
      </c>
    </row>
    <row r="202">
      <c r="A202" s="9" t="inlineStr">
        <is>
          <t>T14-2627-025</t>
        </is>
      </c>
      <c r="B202" s="9" t="inlineStr">
        <is>
          <t>Rugby</t>
        </is>
      </c>
      <c r="C202" s="9" t="inlineStr">
        <is>
          <t>Top 14</t>
        </is>
      </c>
      <c r="D202" s="9" t="inlineStr">
        <is>
          <t>2026-2027</t>
        </is>
      </c>
      <c r="E202" s="9" t="inlineStr">
        <is>
          <t>Saison régulière</t>
        </is>
      </c>
      <c r="F202" s="9" t="n">
        <v>25</v>
      </c>
      <c r="G202" s="9" t="inlineStr">
        <is>
          <t>Top 14 – Journée 25</t>
        </is>
      </c>
      <c r="H202" s="10" t="n">
        <v>46536</v>
      </c>
      <c r="I202" s="10" t="n">
        <v>46537</v>
      </c>
      <c r="J202" s="11" t="n"/>
      <c r="K202" s="9" t="inlineStr">
        <is>
          <t>Europe/Paris</t>
        </is>
      </c>
      <c r="L202" s="9" t="n"/>
      <c r="M202" s="9" t="inlineStr">
        <is>
          <t>France</t>
        </is>
      </c>
      <c r="N202" s="9" t="inlineStr">
        <is>
          <t>Hommes</t>
        </is>
      </c>
      <c r="O202" s="9" t="inlineStr">
        <is>
          <t>Provisoire</t>
        </is>
      </c>
      <c r="P202" s="9" t="inlineStr">
        <is>
          <t>Oui</t>
        </is>
      </c>
      <c r="Q202" s="9" t="inlineStr">
        <is>
          <t>https://assets.lnr.fr/2/9/4/0/4/6/TOP14_Calendrier_26-27_52f176c3bd1630dc2d08bce2b2edfa7b.pdf</t>
        </is>
      </c>
      <c r="R202" s="10" t="n">
        <v>46311</v>
      </c>
      <c r="S202" s="9" t="inlineStr">
        <is>
          <t>Week-end selon calendrier LNR ; jours et horaires à fixer</t>
        </is>
      </c>
      <c r="T202" s="9">
        <f>IF(H202="","",IF(MAX(H202,I202)&lt;TODAY(),"Terminé",IF(H202&lt;=TODAY(),"En cours","À venir")))</f>
        <v/>
      </c>
    </row>
    <row r="203">
      <c r="A203" s="9" t="inlineStr">
        <is>
          <t>T14-2627-026</t>
        </is>
      </c>
      <c r="B203" s="9" t="inlineStr">
        <is>
          <t>Rugby</t>
        </is>
      </c>
      <c r="C203" s="9" t="inlineStr">
        <is>
          <t>Top 14</t>
        </is>
      </c>
      <c r="D203" s="9" t="inlineStr">
        <is>
          <t>2026-2027</t>
        </is>
      </c>
      <c r="E203" s="9" t="inlineStr">
        <is>
          <t>Saison régulière</t>
        </is>
      </c>
      <c r="F203" s="9" t="n">
        <v>26</v>
      </c>
      <c r="G203" s="9" t="inlineStr">
        <is>
          <t>Top 14 – Journée 26</t>
        </is>
      </c>
      <c r="H203" s="10" t="n">
        <v>46543</v>
      </c>
      <c r="I203" s="10" t="n">
        <v>46544</v>
      </c>
      <c r="J203" s="11" t="n"/>
      <c r="K203" s="9" t="inlineStr">
        <is>
          <t>Europe/Paris</t>
        </is>
      </c>
      <c r="L203" s="9" t="n"/>
      <c r="M203" s="9" t="inlineStr">
        <is>
          <t>France</t>
        </is>
      </c>
      <c r="N203" s="9" t="inlineStr">
        <is>
          <t>Hommes</t>
        </is>
      </c>
      <c r="O203" s="9" t="inlineStr">
        <is>
          <t>Provisoire</t>
        </is>
      </c>
      <c r="P203" s="9" t="inlineStr">
        <is>
          <t>Oui</t>
        </is>
      </c>
      <c r="Q203" s="9" t="inlineStr">
        <is>
          <t>https://assets.lnr.fr/2/9/4/0/4/6/TOP14_Calendrier_26-27_52f176c3bd1630dc2d08bce2b2edfa7b.pdf</t>
        </is>
      </c>
      <c r="R203" s="10" t="n">
        <v>46311</v>
      </c>
      <c r="S203" s="9" t="inlineStr">
        <is>
          <t>Dernière journée de saison régulière</t>
        </is>
      </c>
      <c r="T203" s="9">
        <f>IF(H203="","",IF(MAX(H203,I203)&lt;TODAY(),"Terminé",IF(H203&lt;=TODAY(),"En cours","À venir")))</f>
        <v/>
      </c>
    </row>
    <row r="204">
      <c r="A204" s="9" t="inlineStr">
        <is>
          <t>T14-2627-027</t>
        </is>
      </c>
      <c r="B204" s="9" t="inlineStr">
        <is>
          <t>Rugby</t>
        </is>
      </c>
      <c r="C204" s="9" t="inlineStr">
        <is>
          <t>Top 14</t>
        </is>
      </c>
      <c r="D204" s="9" t="inlineStr">
        <is>
          <t>2026-2027</t>
        </is>
      </c>
      <c r="E204" s="9" t="inlineStr">
        <is>
          <t>Barrages</t>
        </is>
      </c>
      <c r="F204" s="9" t="n"/>
      <c r="G204" s="9" t="inlineStr">
        <is>
          <t>Top 14 – Barrages</t>
        </is>
      </c>
      <c r="H204" s="10" t="n">
        <v>46550</v>
      </c>
      <c r="I204" s="10" t="n">
        <v>46551</v>
      </c>
      <c r="J204" s="11" t="n"/>
      <c r="K204" s="9" t="inlineStr">
        <is>
          <t>Europe/Paris</t>
        </is>
      </c>
      <c r="L204" s="9" t="n"/>
      <c r="M204" s="9" t="inlineStr">
        <is>
          <t>France</t>
        </is>
      </c>
      <c r="N204" s="9" t="inlineStr">
        <is>
          <t>Hommes</t>
        </is>
      </c>
      <c r="O204" s="9" t="inlineStr">
        <is>
          <t>Provisoire</t>
        </is>
      </c>
      <c r="P204" s="9" t="inlineStr">
        <is>
          <t>Oui</t>
        </is>
      </c>
      <c r="Q204" s="9" t="inlineStr">
        <is>
          <t>https://www.lnr.fr/actualite/calendrier-20262027-les-dates-connues</t>
        </is>
      </c>
      <c r="R204" s="10" t="n">
        <v>46311</v>
      </c>
      <c r="S204" s="9" t="inlineStr">
        <is>
          <t>Même week-end que l'Access Match</t>
        </is>
      </c>
      <c r="T204" s="9">
        <f>IF(H204="","",IF(MAX(H204,I204)&lt;TODAY(),"Terminé",IF(H204&lt;=TODAY(),"En cours","À venir")))</f>
        <v/>
      </c>
    </row>
    <row r="205">
      <c r="A205" s="9" t="inlineStr">
        <is>
          <t>T14-2627-028</t>
        </is>
      </c>
      <c r="B205" s="9" t="inlineStr">
        <is>
          <t>Rugby</t>
        </is>
      </c>
      <c r="C205" s="9" t="inlineStr">
        <is>
          <t>Top 14</t>
        </is>
      </c>
      <c r="D205" s="9" t="inlineStr">
        <is>
          <t>2026-2027</t>
        </is>
      </c>
      <c r="E205" s="9" t="inlineStr">
        <is>
          <t>Demi-finales</t>
        </is>
      </c>
      <c r="F205" s="9" t="n"/>
      <c r="G205" s="9" t="inlineStr">
        <is>
          <t>Top 14 – Demi-finales</t>
        </is>
      </c>
      <c r="H205" s="10" t="n">
        <v>46557</v>
      </c>
      <c r="I205" s="10" t="n">
        <v>46558</v>
      </c>
      <c r="J205" s="11" t="n"/>
      <c r="K205" s="9" t="inlineStr">
        <is>
          <t>Europe/Paris</t>
        </is>
      </c>
      <c r="L205" s="9" t="inlineStr">
        <is>
          <t>Stade Atlantique (Matmut Atlantique), Bordeaux</t>
        </is>
      </c>
      <c r="M205" s="9" t="inlineStr">
        <is>
          <t>France</t>
        </is>
      </c>
      <c r="N205" s="9" t="inlineStr">
        <is>
          <t>Hommes</t>
        </is>
      </c>
      <c r="O205" s="9" t="inlineStr">
        <is>
          <t>Provisoire</t>
        </is>
      </c>
      <c r="P205" s="9" t="inlineStr">
        <is>
          <t>Oui</t>
        </is>
      </c>
      <c r="Q205" s="9" t="inlineStr">
        <is>
          <t>https://www.lnr.fr/actualite/calendrier-20262027-les-dates-connues</t>
        </is>
      </c>
      <c r="R205" s="10" t="n">
        <v>46311</v>
      </c>
      <c r="S205" s="9" t="inlineStr">
        <is>
          <t>Jours exacts à confirmer (certaines sources : 18-19 juin)</t>
        </is>
      </c>
      <c r="T205" s="9">
        <f>IF(H205="","",IF(MAX(H205,I205)&lt;TODAY(),"Terminé",IF(H205&lt;=TODAY(),"En cours","À venir")))</f>
        <v/>
      </c>
    </row>
    <row r="206">
      <c r="A206" s="9" t="inlineStr">
        <is>
          <t>T14-2627-029</t>
        </is>
      </c>
      <c r="B206" s="9" t="inlineStr">
        <is>
          <t>Rugby</t>
        </is>
      </c>
      <c r="C206" s="9" t="inlineStr">
        <is>
          <t>Top 14</t>
        </is>
      </c>
      <c r="D206" s="9" t="inlineStr">
        <is>
          <t>2026-2027</t>
        </is>
      </c>
      <c r="E206" s="9" t="inlineStr">
        <is>
          <t>Finale</t>
        </is>
      </c>
      <c r="F206" s="9" t="n"/>
      <c r="G206" s="9" t="inlineStr">
        <is>
          <t>Top 14 – Finale</t>
        </is>
      </c>
      <c r="H206" s="10" t="n">
        <v>46564</v>
      </c>
      <c r="I206" s="10" t="n">
        <v>46564</v>
      </c>
      <c r="J206" s="11" t="n"/>
      <c r="K206" s="9" t="inlineStr">
        <is>
          <t>Europe/Paris</t>
        </is>
      </c>
      <c r="L206" s="9" t="inlineStr">
        <is>
          <t>Stade de France, Saint-Denis</t>
        </is>
      </c>
      <c r="M206" s="9" t="inlineStr">
        <is>
          <t>France</t>
        </is>
      </c>
      <c r="N206" s="9" t="inlineStr">
        <is>
          <t>Hommes</t>
        </is>
      </c>
      <c r="O206" s="9" t="inlineStr">
        <is>
          <t>Officiel</t>
        </is>
      </c>
      <c r="P206" s="9" t="inlineStr">
        <is>
          <t>Oui</t>
        </is>
      </c>
      <c r="Q206" s="9" t="inlineStr">
        <is>
          <t>https://top14.lnr.fr/actualite/decouvrez-le-calendrier-2026-2027-de-top-14</t>
        </is>
      </c>
      <c r="R206" s="10" t="n">
        <v>46311</v>
      </c>
      <c r="S206" s="9" t="inlineStr">
        <is>
          <t>Horaire non communiqué</t>
        </is>
      </c>
      <c r="T206" s="9">
        <f>IF(H206="","",IF(MAX(H206,I206)&lt;TODAY(),"Terminé",IF(H206&lt;=TODAY(),"En cours","À venir")))</f>
        <v/>
      </c>
    </row>
    <row r="207">
      <c r="A207" s="9" t="inlineStr">
        <is>
          <t>PD2-2627-001</t>
        </is>
      </c>
      <c r="B207" s="9" t="inlineStr">
        <is>
          <t>Rugby</t>
        </is>
      </c>
      <c r="C207" s="9" t="inlineStr">
        <is>
          <t>Pro D2</t>
        </is>
      </c>
      <c r="D207" s="9" t="inlineStr">
        <is>
          <t>2026-2027</t>
        </is>
      </c>
      <c r="E207" s="9" t="inlineStr">
        <is>
          <t>Saison régulière</t>
        </is>
      </c>
      <c r="F207" s="9" t="n">
        <v>1</v>
      </c>
      <c r="G207" s="9" t="inlineStr">
        <is>
          <t>Pro D2 – Journée 1</t>
        </is>
      </c>
      <c r="H207" s="10" t="n">
        <v>46261</v>
      </c>
      <c r="I207" s="10" t="n">
        <v>46262</v>
      </c>
      <c r="J207" s="11" t="n"/>
      <c r="K207" s="9" t="inlineStr">
        <is>
          <t>Europe/Paris</t>
        </is>
      </c>
      <c r="L207" s="9" t="n"/>
      <c r="M207" s="9" t="inlineStr">
        <is>
          <t>France</t>
        </is>
      </c>
      <c r="N207" s="9" t="inlineStr">
        <is>
          <t>Hommes</t>
        </is>
      </c>
      <c r="O207" s="9" t="inlineStr">
        <is>
          <t>Officiel</t>
        </is>
      </c>
      <c r="P207" s="9" t="inlineStr">
        <is>
          <t>Oui</t>
        </is>
      </c>
      <c r="Q207" s="9" t="inlineStr">
        <is>
          <t>https://prod2.lnr.fr/calendrier-et-resultats/2026-2027</t>
        </is>
      </c>
      <c r="R207" s="10" t="n">
        <v>46311</v>
      </c>
      <c r="S207" s="9" t="n"/>
      <c r="T207" s="9">
        <f>IF(H207="","",IF(MAX(H207,I207)&lt;TODAY(),"Terminé",IF(H207&lt;=TODAY(),"En cours","À venir")))</f>
        <v/>
      </c>
    </row>
    <row r="208">
      <c r="A208" s="9" t="inlineStr">
        <is>
          <t>PD2-2627-002</t>
        </is>
      </c>
      <c r="B208" s="9" t="inlineStr">
        <is>
          <t>Rugby</t>
        </is>
      </c>
      <c r="C208" s="9" t="inlineStr">
        <is>
          <t>Pro D2</t>
        </is>
      </c>
      <c r="D208" s="9" t="inlineStr">
        <is>
          <t>2026-2027</t>
        </is>
      </c>
      <c r="E208" s="9" t="inlineStr">
        <is>
          <t>Saison régulière</t>
        </is>
      </c>
      <c r="F208" s="9" t="n">
        <v>2</v>
      </c>
      <c r="G208" s="9" t="inlineStr">
        <is>
          <t>Pro D2 – Journée 2</t>
        </is>
      </c>
      <c r="H208" s="10" t="n">
        <v>46268</v>
      </c>
      <c r="I208" s="10" t="n">
        <v>46269</v>
      </c>
      <c r="J208" s="11" t="n"/>
      <c r="K208" s="9" t="inlineStr">
        <is>
          <t>Europe/Paris</t>
        </is>
      </c>
      <c r="L208" s="9" t="n"/>
      <c r="M208" s="9" t="inlineStr">
        <is>
          <t>France</t>
        </is>
      </c>
      <c r="N208" s="9" t="inlineStr">
        <is>
          <t>Hommes</t>
        </is>
      </c>
      <c r="O208" s="9" t="inlineStr">
        <is>
          <t>Officiel</t>
        </is>
      </c>
      <c r="P208" s="9" t="inlineStr">
        <is>
          <t>Oui</t>
        </is>
      </c>
      <c r="Q208" s="9" t="inlineStr">
        <is>
          <t>https://prod2.lnr.fr/club/provence-rugby/calendrier-resultats</t>
        </is>
      </c>
      <c r="R208" s="10" t="n">
        <v>46311</v>
      </c>
      <c r="S208" s="9" t="n"/>
      <c r="T208" s="9">
        <f>IF(H208="","",IF(MAX(H208,I208)&lt;TODAY(),"Terminé",IF(H208&lt;=TODAY(),"En cours","À venir")))</f>
        <v/>
      </c>
    </row>
    <row r="209">
      <c r="A209" s="9" t="inlineStr">
        <is>
          <t>PD2-2627-003</t>
        </is>
      </c>
      <c r="B209" s="9" t="inlineStr">
        <is>
          <t>Rugby</t>
        </is>
      </c>
      <c r="C209" s="9" t="inlineStr">
        <is>
          <t>Pro D2</t>
        </is>
      </c>
      <c r="D209" s="9" t="inlineStr">
        <is>
          <t>2026-2027</t>
        </is>
      </c>
      <c r="E209" s="9" t="inlineStr">
        <is>
          <t>Saison régulière</t>
        </is>
      </c>
      <c r="F209" s="9" t="n">
        <v>3</v>
      </c>
      <c r="G209" s="9" t="inlineStr">
        <is>
          <t>Pro D2 – Journée 3</t>
        </is>
      </c>
      <c r="H209" s="10" t="n">
        <v>46275</v>
      </c>
      <c r="I209" s="10" t="n">
        <v>46276</v>
      </c>
      <c r="J209" s="11" t="n"/>
      <c r="K209" s="9" t="inlineStr">
        <is>
          <t>Europe/Paris</t>
        </is>
      </c>
      <c r="L209" s="9" t="n"/>
      <c r="M209" s="9" t="inlineStr">
        <is>
          <t>France</t>
        </is>
      </c>
      <c r="N209" s="9" t="inlineStr">
        <is>
          <t>Hommes</t>
        </is>
      </c>
      <c r="O209" s="9" t="inlineStr">
        <is>
          <t>Officiel</t>
        </is>
      </c>
      <c r="P209" s="9" t="inlineStr">
        <is>
          <t>Oui</t>
        </is>
      </c>
      <c r="Q209" s="9" t="inlineStr">
        <is>
          <t>https://prod2.lnr.fr/club/biarritz/calendrier-resultats</t>
        </is>
      </c>
      <c r="R209" s="10" t="n">
        <v>46311</v>
      </c>
      <c r="S209" s="9" t="n"/>
      <c r="T209" s="9">
        <f>IF(H209="","",IF(MAX(H209,I209)&lt;TODAY(),"Terminé",IF(H209&lt;=TODAY(),"En cours","À venir")))</f>
        <v/>
      </c>
    </row>
    <row r="210">
      <c r="A210" s="9" t="inlineStr">
        <is>
          <t>PD2-2627-004</t>
        </is>
      </c>
      <c r="B210" s="9" t="inlineStr">
        <is>
          <t>Rugby</t>
        </is>
      </c>
      <c r="C210" s="9" t="inlineStr">
        <is>
          <t>Pro D2</t>
        </is>
      </c>
      <c r="D210" s="9" t="inlineStr">
        <is>
          <t>2026-2027</t>
        </is>
      </c>
      <c r="E210" s="9" t="inlineStr">
        <is>
          <t>Saison régulière</t>
        </is>
      </c>
      <c r="F210" s="9" t="n">
        <v>4</v>
      </c>
      <c r="G210" s="9" t="inlineStr">
        <is>
          <t>Pro D2 – Journée 4</t>
        </is>
      </c>
      <c r="H210" s="10" t="n">
        <v>46282</v>
      </c>
      <c r="I210" s="10" t="n">
        <v>46283</v>
      </c>
      <c r="J210" s="11" t="n"/>
      <c r="K210" s="9" t="inlineStr">
        <is>
          <t>Europe/Paris</t>
        </is>
      </c>
      <c r="L210" s="9" t="n"/>
      <c r="M210" s="9" t="inlineStr">
        <is>
          <t>France</t>
        </is>
      </c>
      <c r="N210" s="9" t="inlineStr">
        <is>
          <t>Hommes</t>
        </is>
      </c>
      <c r="O210" s="9" t="inlineStr">
        <is>
          <t>Officiel</t>
        </is>
      </c>
      <c r="P210" s="9" t="inlineStr">
        <is>
          <t>Oui</t>
        </is>
      </c>
      <c r="Q210" s="9" t="inlineStr">
        <is>
          <t>https://prod2.lnr.fr/club/aurillac/calendrier-resultats</t>
        </is>
      </c>
      <c r="R210" s="10" t="n">
        <v>46311</v>
      </c>
      <c r="S210" s="9" t="n"/>
      <c r="T210" s="9">
        <f>IF(H210="","",IF(MAX(H210,I210)&lt;TODAY(),"Terminé",IF(H210&lt;=TODAY(),"En cours","À venir")))</f>
        <v/>
      </c>
    </row>
    <row r="211">
      <c r="A211" s="9" t="inlineStr">
        <is>
          <t>PD2-2627-005</t>
        </is>
      </c>
      <c r="B211" s="9" t="inlineStr">
        <is>
          <t>Rugby</t>
        </is>
      </c>
      <c r="C211" s="9" t="inlineStr">
        <is>
          <t>Pro D2</t>
        </is>
      </c>
      <c r="D211" s="9" t="inlineStr">
        <is>
          <t>2026-2027</t>
        </is>
      </c>
      <c r="E211" s="9" t="inlineStr">
        <is>
          <t>Saison régulière</t>
        </is>
      </c>
      <c r="F211" s="9" t="n">
        <v>5</v>
      </c>
      <c r="G211" s="9" t="inlineStr">
        <is>
          <t>Pro D2 – Journée 5</t>
        </is>
      </c>
      <c r="H211" s="10" t="n">
        <v>46289</v>
      </c>
      <c r="I211" s="10" t="n">
        <v>46290</v>
      </c>
      <c r="J211" s="11" t="n"/>
      <c r="K211" s="9" t="inlineStr">
        <is>
          <t>Europe/Paris</t>
        </is>
      </c>
      <c r="L211" s="9" t="n"/>
      <c r="M211" s="9" t="inlineStr">
        <is>
          <t>France</t>
        </is>
      </c>
      <c r="N211" s="9" t="inlineStr">
        <is>
          <t>Hommes</t>
        </is>
      </c>
      <c r="O211" s="9" t="inlineStr">
        <is>
          <t>Officiel</t>
        </is>
      </c>
      <c r="P211" s="9" t="inlineStr">
        <is>
          <t>Oui</t>
        </is>
      </c>
      <c r="Q211" s="9" t="inlineStr">
        <is>
          <t>https://assets.lnr.fr/2/9/4/0/2/9/PROD2-Calendrier_26-27-1_e05e7a437154a5d2f0f49cb1bde6e3d5.pdf</t>
        </is>
      </c>
      <c r="R211" s="10" t="n">
        <v>46311</v>
      </c>
      <c r="S211" s="9" t="n"/>
      <c r="T211" s="9">
        <f>IF(H211="","",IF(MAX(H211,I211)&lt;TODAY(),"Terminé",IF(H211&lt;=TODAY(),"En cours","À venir")))</f>
        <v/>
      </c>
    </row>
    <row r="212">
      <c r="A212" s="9" t="inlineStr">
        <is>
          <t>PD2-2627-006</t>
        </is>
      </c>
      <c r="B212" s="9" t="inlineStr">
        <is>
          <t>Rugby</t>
        </is>
      </c>
      <c r="C212" s="9" t="inlineStr">
        <is>
          <t>Pro D2</t>
        </is>
      </c>
      <c r="D212" s="9" t="inlineStr">
        <is>
          <t>2026-2027</t>
        </is>
      </c>
      <c r="E212" s="9" t="inlineStr">
        <is>
          <t>Saison régulière</t>
        </is>
      </c>
      <c r="F212" s="9" t="n">
        <v>6</v>
      </c>
      <c r="G212" s="9" t="inlineStr">
        <is>
          <t>Pro D2 – Journée 6</t>
        </is>
      </c>
      <c r="H212" s="10" t="n">
        <v>46303</v>
      </c>
      <c r="I212" s="10" t="n">
        <v>46304</v>
      </c>
      <c r="J212" s="11" t="n"/>
      <c r="K212" s="9" t="inlineStr">
        <is>
          <t>Europe/Paris</t>
        </is>
      </c>
      <c r="L212" s="9" t="n"/>
      <c r="M212" s="9" t="inlineStr">
        <is>
          <t>France</t>
        </is>
      </c>
      <c r="N212" s="9" t="inlineStr">
        <is>
          <t>Hommes</t>
        </is>
      </c>
      <c r="O212" s="9" t="inlineStr">
        <is>
          <t>Officiel</t>
        </is>
      </c>
      <c r="P212" s="9" t="inlineStr">
        <is>
          <t>Oui</t>
        </is>
      </c>
      <c r="Q212" s="9" t="inlineStr">
        <is>
          <t>https://prod2.lnr.fr/calendrier-et-resultats?day=21708&amp;season=21642</t>
        </is>
      </c>
      <c r="R212" s="10" t="n">
        <v>46311</v>
      </c>
      <c r="S212" s="9" t="n"/>
      <c r="T212" s="9">
        <f>IF(H212="","",IF(MAX(H212,I212)&lt;TODAY(),"Terminé",IF(H212&lt;=TODAY(),"En cours","À venir")))</f>
        <v/>
      </c>
    </row>
    <row r="213">
      <c r="A213" s="9" t="inlineStr">
        <is>
          <t>PD2-2627-007</t>
        </is>
      </c>
      <c r="B213" s="9" t="inlineStr">
        <is>
          <t>Rugby</t>
        </is>
      </c>
      <c r="C213" s="9" t="inlineStr">
        <is>
          <t>Pro D2</t>
        </is>
      </c>
      <c r="D213" s="9" t="inlineStr">
        <is>
          <t>2026-2027</t>
        </is>
      </c>
      <c r="E213" s="9" t="inlineStr">
        <is>
          <t>Saison régulière</t>
        </is>
      </c>
      <c r="F213" s="9" t="n">
        <v>7</v>
      </c>
      <c r="G213" s="9" t="inlineStr">
        <is>
          <t>Pro D2 – Journée 7</t>
        </is>
      </c>
      <c r="H213" s="10" t="n">
        <v>46311</v>
      </c>
      <c r="I213" s="10" t="n">
        <v>46312</v>
      </c>
      <c r="J213" s="11" t="n"/>
      <c r="K213" s="9" t="inlineStr">
        <is>
          <t>Europe/Paris</t>
        </is>
      </c>
      <c r="L213" s="9" t="n"/>
      <c r="M213" s="9" t="inlineStr">
        <is>
          <t>France</t>
        </is>
      </c>
      <c r="N213" s="9" t="inlineStr">
        <is>
          <t>Hommes</t>
        </is>
      </c>
      <c r="O213" s="9" t="inlineStr">
        <is>
          <t>Officiel</t>
        </is>
      </c>
      <c r="P213" s="9" t="inlineStr">
        <is>
          <t>Oui</t>
        </is>
      </c>
      <c r="Q213" s="9" t="inlineStr">
        <is>
          <t>https://prod2.lnr.fr/calendrier-et-resultats</t>
        </is>
      </c>
      <c r="R213" s="10" t="n">
        <v>46311</v>
      </c>
      <c r="S213" s="9" t="n"/>
      <c r="T213" s="9">
        <f>IF(H213="","",IF(MAX(H213,I213)&lt;TODAY(),"Terminé",IF(H213&lt;=TODAY(),"En cours","À venir")))</f>
        <v/>
      </c>
    </row>
    <row r="214">
      <c r="A214" s="9" t="inlineStr">
        <is>
          <t>PD2-2627-008</t>
        </is>
      </c>
      <c r="B214" s="9" t="inlineStr">
        <is>
          <t>Rugby</t>
        </is>
      </c>
      <c r="C214" s="9" t="inlineStr">
        <is>
          <t>Pro D2</t>
        </is>
      </c>
      <c r="D214" s="9" t="inlineStr">
        <is>
          <t>2026-2027</t>
        </is>
      </c>
      <c r="E214" s="9" t="inlineStr">
        <is>
          <t>Saison régulière</t>
        </is>
      </c>
      <c r="F214" s="9" t="n">
        <v>8</v>
      </c>
      <c r="G214" s="9" t="inlineStr">
        <is>
          <t>Pro D2 – Journée 8</t>
        </is>
      </c>
      <c r="H214" s="10" t="n">
        <v>46317</v>
      </c>
      <c r="I214" s="10" t="n">
        <v>46318</v>
      </c>
      <c r="J214" s="11" t="n"/>
      <c r="K214" s="9" t="inlineStr">
        <is>
          <t>Europe/Paris</t>
        </is>
      </c>
      <c r="L214" s="9" t="n"/>
      <c r="M214" s="9" t="inlineStr">
        <is>
          <t>France</t>
        </is>
      </c>
      <c r="N214" s="9" t="inlineStr">
        <is>
          <t>Hommes</t>
        </is>
      </c>
      <c r="O214" s="9" t="inlineStr">
        <is>
          <t>Provisoire</t>
        </is>
      </c>
      <c r="P214" s="9" t="inlineStr">
        <is>
          <t>Oui</t>
        </is>
      </c>
      <c r="Q214" s="9" t="inlineStr">
        <is>
          <t>https://assets.lnr.fr/2/9/4/0/2/9/PROD2-Calendrier_26-27-1_e05e7a437154a5d2f0f49cb1bde6e3d5.pdf</t>
        </is>
      </c>
      <c r="R214" s="10" t="n">
        <v>46311</v>
      </c>
      <c r="S214" s="9" t="inlineStr">
        <is>
          <t>Jeudi–vendredi selon calendrier LNR ; jours et horaires détaillés à fixer</t>
        </is>
      </c>
      <c r="T214" s="9">
        <f>IF(H214="","",IF(MAX(H214,I214)&lt;TODAY(),"Terminé",IF(H214&lt;=TODAY(),"En cours","À venir")))</f>
        <v/>
      </c>
    </row>
    <row r="215">
      <c r="A215" s="9" t="inlineStr">
        <is>
          <t>PD2-2627-009</t>
        </is>
      </c>
      <c r="B215" s="9" t="inlineStr">
        <is>
          <t>Rugby</t>
        </is>
      </c>
      <c r="C215" s="9" t="inlineStr">
        <is>
          <t>Pro D2</t>
        </is>
      </c>
      <c r="D215" s="9" t="inlineStr">
        <is>
          <t>2026-2027</t>
        </is>
      </c>
      <c r="E215" s="9" t="inlineStr">
        <is>
          <t>Saison régulière</t>
        </is>
      </c>
      <c r="F215" s="9" t="n">
        <v>9</v>
      </c>
      <c r="G215" s="9" t="inlineStr">
        <is>
          <t>Pro D2 – Journée 9</t>
        </is>
      </c>
      <c r="H215" s="10" t="n">
        <v>46324</v>
      </c>
      <c r="I215" s="10" t="n">
        <v>46325</v>
      </c>
      <c r="J215" s="11" t="n"/>
      <c r="K215" s="9" t="inlineStr">
        <is>
          <t>Europe/Paris</t>
        </is>
      </c>
      <c r="L215" s="9" t="n"/>
      <c r="M215" s="9" t="inlineStr">
        <is>
          <t>France</t>
        </is>
      </c>
      <c r="N215" s="9" t="inlineStr">
        <is>
          <t>Hommes</t>
        </is>
      </c>
      <c r="O215" s="9" t="inlineStr">
        <is>
          <t>Provisoire</t>
        </is>
      </c>
      <c r="P215" s="9" t="inlineStr">
        <is>
          <t>Oui</t>
        </is>
      </c>
      <c r="Q215" s="9" t="inlineStr">
        <is>
          <t>https://prod2.lnr.fr/club/provence-rugby/calendrier-resultats</t>
        </is>
      </c>
      <c r="R215" s="10" t="n">
        <v>46311</v>
      </c>
      <c r="S215" s="9" t="inlineStr">
        <is>
          <t>Jeudi–vendredi selon calendrier LNR ; jours et horaires détaillés à fixer</t>
        </is>
      </c>
      <c r="T215" s="9">
        <f>IF(H215="","",IF(MAX(H215,I215)&lt;TODAY(),"Terminé",IF(H215&lt;=TODAY(),"En cours","À venir")))</f>
        <v/>
      </c>
    </row>
    <row r="216">
      <c r="A216" s="9" t="inlineStr">
        <is>
          <t>PD2-2627-010</t>
        </is>
      </c>
      <c r="B216" s="9" t="inlineStr">
        <is>
          <t>Rugby</t>
        </is>
      </c>
      <c r="C216" s="9" t="inlineStr">
        <is>
          <t>Pro D2</t>
        </is>
      </c>
      <c r="D216" s="9" t="inlineStr">
        <is>
          <t>2026-2027</t>
        </is>
      </c>
      <c r="E216" s="9" t="inlineStr">
        <is>
          <t>Saison régulière</t>
        </is>
      </c>
      <c r="F216" s="9" t="n">
        <v>10</v>
      </c>
      <c r="G216" s="9" t="inlineStr">
        <is>
          <t>Pro D2 – Journée 10</t>
        </is>
      </c>
      <c r="H216" s="10" t="n">
        <v>46332</v>
      </c>
      <c r="I216" s="10" t="n">
        <v>46332</v>
      </c>
      <c r="J216" s="11" t="n"/>
      <c r="K216" s="9" t="inlineStr">
        <is>
          <t>Europe/Paris</t>
        </is>
      </c>
      <c r="L216" s="9" t="n"/>
      <c r="M216" s="9" t="inlineStr">
        <is>
          <t>France</t>
        </is>
      </c>
      <c r="N216" s="9" t="inlineStr">
        <is>
          <t>Hommes</t>
        </is>
      </c>
      <c r="O216" s="9" t="inlineStr">
        <is>
          <t>Provisoire</t>
        </is>
      </c>
      <c r="P216" s="9" t="inlineStr">
        <is>
          <t>Oui</t>
        </is>
      </c>
      <c r="Q216" s="9" t="inlineStr">
        <is>
          <t>https://prod2.lnr.fr/club/provence-rugby/calendrier-resultats</t>
        </is>
      </c>
      <c r="R216" s="10" t="n">
        <v>46311</v>
      </c>
      <c r="S216" s="9" t="inlineStr">
        <is>
          <t>Seul le vendredi vérifié ; match éventuel le jeudi à confirmer</t>
        </is>
      </c>
      <c r="T216" s="9">
        <f>IF(H216="","",IF(MAX(H216,I216)&lt;TODAY(),"Terminé",IF(H216&lt;=TODAY(),"En cours","À venir")))</f>
        <v/>
      </c>
    </row>
    <row r="217">
      <c r="A217" s="9" t="inlineStr">
        <is>
          <t>PD2-2627-011</t>
        </is>
      </c>
      <c r="B217" s="9" t="inlineStr">
        <is>
          <t>Rugby</t>
        </is>
      </c>
      <c r="C217" s="9" t="inlineStr">
        <is>
          <t>Pro D2</t>
        </is>
      </c>
      <c r="D217" s="9" t="inlineStr">
        <is>
          <t>2026-2027</t>
        </is>
      </c>
      <c r="E217" s="9" t="inlineStr">
        <is>
          <t>Saison régulière</t>
        </is>
      </c>
      <c r="F217" s="9" t="n">
        <v>11</v>
      </c>
      <c r="G217" s="9" t="inlineStr">
        <is>
          <t>Pro D2 – Journée 11</t>
        </is>
      </c>
      <c r="H217" s="10" t="n">
        <v>46345</v>
      </c>
      <c r="I217" s="10" t="n">
        <v>46346</v>
      </c>
      <c r="J217" s="11" t="n"/>
      <c r="K217" s="9" t="inlineStr">
        <is>
          <t>Europe/Paris</t>
        </is>
      </c>
      <c r="L217" s="9" t="n"/>
      <c r="M217" s="9" t="inlineStr">
        <is>
          <t>France</t>
        </is>
      </c>
      <c r="N217" s="9" t="inlineStr">
        <is>
          <t>Hommes</t>
        </is>
      </c>
      <c r="O217" s="9" t="inlineStr">
        <is>
          <t>Officiel</t>
        </is>
      </c>
      <c r="P217" s="9" t="inlineStr">
        <is>
          <t>Oui</t>
        </is>
      </c>
      <c r="Q217" s="9" t="inlineStr">
        <is>
          <t>https://prod2.lnr.fr/calendrier-et-resultats/2026-2027/j11</t>
        </is>
      </c>
      <c r="R217" s="10" t="n">
        <v>46311</v>
      </c>
      <c r="S217" s="9" t="n"/>
      <c r="T217" s="9">
        <f>IF(H217="","",IF(MAX(H217,I217)&lt;TODAY(),"Terminé",IF(H217&lt;=TODAY(),"En cours","À venir")))</f>
        <v/>
      </c>
    </row>
    <row r="218">
      <c r="A218" s="9" t="inlineStr">
        <is>
          <t>PD2-2627-012</t>
        </is>
      </c>
      <c r="B218" s="9" t="inlineStr">
        <is>
          <t>Rugby</t>
        </is>
      </c>
      <c r="C218" s="9" t="inlineStr">
        <is>
          <t>Pro D2</t>
        </is>
      </c>
      <c r="D218" s="9" t="inlineStr">
        <is>
          <t>2026-2027</t>
        </is>
      </c>
      <c r="E218" s="9" t="inlineStr">
        <is>
          <t>Saison régulière</t>
        </is>
      </c>
      <c r="F218" s="9" t="n">
        <v>12</v>
      </c>
      <c r="G218" s="9" t="inlineStr">
        <is>
          <t>Pro D2 – Journée 12</t>
        </is>
      </c>
      <c r="H218" s="10" t="n">
        <v>46352</v>
      </c>
      <c r="I218" s="10" t="n">
        <v>46353</v>
      </c>
      <c r="J218" s="11" t="n"/>
      <c r="K218" s="9" t="inlineStr">
        <is>
          <t>Europe/Paris</t>
        </is>
      </c>
      <c r="L218" s="9" t="n"/>
      <c r="M218" s="9" t="inlineStr">
        <is>
          <t>France</t>
        </is>
      </c>
      <c r="N218" s="9" t="inlineStr">
        <is>
          <t>Hommes</t>
        </is>
      </c>
      <c r="O218" s="9" t="inlineStr">
        <is>
          <t>Provisoire</t>
        </is>
      </c>
      <c r="P218" s="9" t="inlineStr">
        <is>
          <t>Oui</t>
        </is>
      </c>
      <c r="Q218" s="9" t="inlineStr">
        <is>
          <t>https://assets.lnr.fr/2/9/4/0/2/9/PROD2-Calendrier_26-27-1_e05e7a437154a5d2f0f49cb1bde6e3d5.pdf</t>
        </is>
      </c>
      <c r="R218" s="10" t="n">
        <v>46311</v>
      </c>
      <c r="S218" s="9" t="inlineStr">
        <is>
          <t>Jeudi–vendredi selon calendrier LNR ; jours et horaires détaillés à fixer</t>
        </is>
      </c>
      <c r="T218" s="9">
        <f>IF(H218="","",IF(MAX(H218,I218)&lt;TODAY(),"Terminé",IF(H218&lt;=TODAY(),"En cours","À venir")))</f>
        <v/>
      </c>
    </row>
    <row r="219">
      <c r="A219" s="9" t="inlineStr">
        <is>
          <t>PD2-2627-013</t>
        </is>
      </c>
      <c r="B219" s="9" t="inlineStr">
        <is>
          <t>Rugby</t>
        </is>
      </c>
      <c r="C219" s="9" t="inlineStr">
        <is>
          <t>Pro D2</t>
        </is>
      </c>
      <c r="D219" s="9" t="inlineStr">
        <is>
          <t>2026-2027</t>
        </is>
      </c>
      <c r="E219" s="9" t="inlineStr">
        <is>
          <t>Saison régulière</t>
        </is>
      </c>
      <c r="F219" s="9" t="n">
        <v>13</v>
      </c>
      <c r="G219" s="9" t="inlineStr">
        <is>
          <t>Pro D2 – Journée 13</t>
        </is>
      </c>
      <c r="H219" s="10" t="n">
        <v>46359</v>
      </c>
      <c r="I219" s="10" t="n">
        <v>46360</v>
      </c>
      <c r="J219" s="11" t="n"/>
      <c r="K219" s="9" t="inlineStr">
        <is>
          <t>Europe/Paris</t>
        </is>
      </c>
      <c r="L219" s="9" t="n"/>
      <c r="M219" s="9" t="inlineStr">
        <is>
          <t>France</t>
        </is>
      </c>
      <c r="N219" s="9" t="inlineStr">
        <is>
          <t>Hommes</t>
        </is>
      </c>
      <c r="O219" s="9" t="inlineStr">
        <is>
          <t>Provisoire</t>
        </is>
      </c>
      <c r="P219" s="9" t="inlineStr">
        <is>
          <t>Oui</t>
        </is>
      </c>
      <c r="Q219" s="9" t="inlineStr">
        <is>
          <t>https://assets.lnr.fr/2/9/4/0/2/9/PROD2-Calendrier_26-27-1_e05e7a437154a5d2f0f49cb1bde6e3d5.pdf</t>
        </is>
      </c>
      <c r="R219" s="10" t="n">
        <v>46311</v>
      </c>
      <c r="S219" s="9" t="inlineStr">
        <is>
          <t>Jeudi–vendredi selon calendrier LNR ; jours et horaires détaillés à fixer</t>
        </is>
      </c>
      <c r="T219" s="9">
        <f>IF(H219="","",IF(MAX(H219,I219)&lt;TODAY(),"Terminé",IF(H219&lt;=TODAY(),"En cours","À venir")))</f>
        <v/>
      </c>
    </row>
    <row r="220">
      <c r="A220" s="9" t="inlineStr">
        <is>
          <t>PD2-2627-014</t>
        </is>
      </c>
      <c r="B220" s="9" t="inlineStr">
        <is>
          <t>Rugby</t>
        </is>
      </c>
      <c r="C220" s="9" t="inlineStr">
        <is>
          <t>Pro D2</t>
        </is>
      </c>
      <c r="D220" s="9" t="inlineStr">
        <is>
          <t>2026-2027</t>
        </is>
      </c>
      <c r="E220" s="9" t="inlineStr">
        <is>
          <t>Saison régulière</t>
        </is>
      </c>
      <c r="F220" s="9" t="n">
        <v>14</v>
      </c>
      <c r="G220" s="9" t="inlineStr">
        <is>
          <t>Pro D2 – Journée 14</t>
        </is>
      </c>
      <c r="H220" s="10" t="n">
        <v>46367</v>
      </c>
      <c r="I220" s="10" t="n">
        <v>46367</v>
      </c>
      <c r="J220" s="11" t="n"/>
      <c r="K220" s="9" t="inlineStr">
        <is>
          <t>Europe/Paris</t>
        </is>
      </c>
      <c r="L220" s="9" t="n"/>
      <c r="M220" s="9" t="inlineStr">
        <is>
          <t>France</t>
        </is>
      </c>
      <c r="N220" s="9" t="inlineStr">
        <is>
          <t>Hommes</t>
        </is>
      </c>
      <c r="O220" s="9" t="inlineStr">
        <is>
          <t>Provisoire</t>
        </is>
      </c>
      <c r="P220" s="9" t="inlineStr">
        <is>
          <t>Oui</t>
        </is>
      </c>
      <c r="Q220" s="9" t="inlineStr">
        <is>
          <t>https://prod2.lnr.fr/club/nevers/calendrier-resultats</t>
        </is>
      </c>
      <c r="R220" s="10" t="n">
        <v>46311</v>
      </c>
      <c r="S220" s="9" t="inlineStr">
        <is>
          <t>Seul le vendredi vérifié ; match éventuel le jeudi à confirmer</t>
        </is>
      </c>
      <c r="T220" s="9">
        <f>IF(H220="","",IF(MAX(H220,I220)&lt;TODAY(),"Terminé",IF(H220&lt;=TODAY(),"En cours","À venir")))</f>
        <v/>
      </c>
    </row>
    <row r="221">
      <c r="A221" s="9" t="inlineStr">
        <is>
          <t>PD2-2627-015</t>
        </is>
      </c>
      <c r="B221" s="9" t="inlineStr">
        <is>
          <t>Rugby</t>
        </is>
      </c>
      <c r="C221" s="9" t="inlineStr">
        <is>
          <t>Pro D2</t>
        </is>
      </c>
      <c r="D221" s="9" t="inlineStr">
        <is>
          <t>2026-2027</t>
        </is>
      </c>
      <c r="E221" s="9" t="inlineStr">
        <is>
          <t>Saison régulière</t>
        </is>
      </c>
      <c r="F221" s="9" t="n">
        <v>15</v>
      </c>
      <c r="G221" s="9" t="inlineStr">
        <is>
          <t>Pro D2 – Journée 15</t>
        </is>
      </c>
      <c r="H221" s="10" t="n">
        <v>46373</v>
      </c>
      <c r="I221" s="10" t="n">
        <v>46374</v>
      </c>
      <c r="J221" s="11" t="n"/>
      <c r="K221" s="9" t="inlineStr">
        <is>
          <t>Europe/Paris</t>
        </is>
      </c>
      <c r="L221" s="9" t="n"/>
      <c r="M221" s="9" t="inlineStr">
        <is>
          <t>France</t>
        </is>
      </c>
      <c r="N221" s="9" t="inlineStr">
        <is>
          <t>Hommes</t>
        </is>
      </c>
      <c r="O221" s="9" t="inlineStr">
        <is>
          <t>Provisoire</t>
        </is>
      </c>
      <c r="P221" s="9" t="inlineStr">
        <is>
          <t>Oui</t>
        </is>
      </c>
      <c r="Q221" s="9" t="inlineStr">
        <is>
          <t>https://assets.lnr.fr/2/9/4/0/2/9/PROD2-Calendrier_26-27-1_e05e7a437154a5d2f0f49cb1bde6e3d5.pdf</t>
        </is>
      </c>
      <c r="R221" s="10" t="n">
        <v>46311</v>
      </c>
      <c r="S221" s="9" t="inlineStr">
        <is>
          <t>Jeudi–vendredi selon calendrier LNR ; jours et horaires détaillés à fixer</t>
        </is>
      </c>
      <c r="T221" s="9">
        <f>IF(H221="","",IF(MAX(H221,I221)&lt;TODAY(),"Terminé",IF(H221&lt;=TODAY(),"En cours","À venir")))</f>
        <v/>
      </c>
    </row>
    <row r="222">
      <c r="A222" s="9" t="inlineStr">
        <is>
          <t>PD2-2627-016</t>
        </is>
      </c>
      <c r="B222" s="9" t="inlineStr">
        <is>
          <t>Rugby</t>
        </is>
      </c>
      <c r="C222" s="9" t="inlineStr">
        <is>
          <t>Pro D2</t>
        </is>
      </c>
      <c r="D222" s="9" t="inlineStr">
        <is>
          <t>2026-2027</t>
        </is>
      </c>
      <c r="E222" s="9" t="inlineStr">
        <is>
          <t>Saison régulière</t>
        </is>
      </c>
      <c r="F222" s="9" t="n">
        <v>16</v>
      </c>
      <c r="G222" s="9" t="inlineStr">
        <is>
          <t>Pro D2 – Journée 16</t>
        </is>
      </c>
      <c r="H222" s="10" t="n">
        <v>46394</v>
      </c>
      <c r="I222" s="10" t="n">
        <v>46395</v>
      </c>
      <c r="J222" s="11" t="n"/>
      <c r="K222" s="9" t="inlineStr">
        <is>
          <t>Europe/Paris</t>
        </is>
      </c>
      <c r="L222" s="9" t="n"/>
      <c r="M222" s="9" t="inlineStr">
        <is>
          <t>France</t>
        </is>
      </c>
      <c r="N222" s="9" t="inlineStr">
        <is>
          <t>Hommes</t>
        </is>
      </c>
      <c r="O222" s="9" t="inlineStr">
        <is>
          <t>Provisoire</t>
        </is>
      </c>
      <c r="P222" s="9" t="inlineStr">
        <is>
          <t>Oui</t>
        </is>
      </c>
      <c r="Q222" s="9" t="inlineStr">
        <is>
          <t>https://assets.lnr.fr/2/9/4/0/2/9/PROD2-Calendrier_26-27-1_e05e7a437154a5d2f0f49cb1bde6e3d5.pdf</t>
        </is>
      </c>
      <c r="R222" s="10" t="n">
        <v>46311</v>
      </c>
      <c r="S222" s="9" t="inlineStr">
        <is>
          <t>Jeudi–vendredi selon calendrier LNR ; jours et horaires détaillés à fixer</t>
        </is>
      </c>
      <c r="T222" s="9">
        <f>IF(H222="","",IF(MAX(H222,I222)&lt;TODAY(),"Terminé",IF(H222&lt;=TODAY(),"En cours","À venir")))</f>
        <v/>
      </c>
    </row>
    <row r="223">
      <c r="A223" s="9" t="inlineStr">
        <is>
          <t>PD2-2627-017</t>
        </is>
      </c>
      <c r="B223" s="9" t="inlineStr">
        <is>
          <t>Rugby</t>
        </is>
      </c>
      <c r="C223" s="9" t="inlineStr">
        <is>
          <t>Pro D2</t>
        </is>
      </c>
      <c r="D223" s="9" t="inlineStr">
        <is>
          <t>2026-2027</t>
        </is>
      </c>
      <c r="E223" s="9" t="inlineStr">
        <is>
          <t>Saison régulière</t>
        </is>
      </c>
      <c r="F223" s="9" t="n">
        <v>17</v>
      </c>
      <c r="G223" s="9" t="inlineStr">
        <is>
          <t>Pro D2 – Journée 17</t>
        </is>
      </c>
      <c r="H223" s="10" t="n">
        <v>46401</v>
      </c>
      <c r="I223" s="10" t="n">
        <v>46402</v>
      </c>
      <c r="J223" s="11" t="n"/>
      <c r="K223" s="9" t="inlineStr">
        <is>
          <t>Europe/Paris</t>
        </is>
      </c>
      <c r="L223" s="9" t="n"/>
      <c r="M223" s="9" t="inlineStr">
        <is>
          <t>France</t>
        </is>
      </c>
      <c r="N223" s="9" t="inlineStr">
        <is>
          <t>Hommes</t>
        </is>
      </c>
      <c r="O223" s="9" t="inlineStr">
        <is>
          <t>Provisoire</t>
        </is>
      </c>
      <c r="P223" s="9" t="inlineStr">
        <is>
          <t>Oui</t>
        </is>
      </c>
      <c r="Q223" s="9" t="inlineStr">
        <is>
          <t>https://assets.lnr.fr/2/9/4/0/2/9/PROD2-Calendrier_26-27-1_e05e7a437154a5d2f0f49cb1bde6e3d5.pdf</t>
        </is>
      </c>
      <c r="R223" s="10" t="n">
        <v>46311</v>
      </c>
      <c r="S223" s="9" t="inlineStr">
        <is>
          <t>Jeudi–vendredi selon calendrier LNR ; jours et horaires détaillés à fixer</t>
        </is>
      </c>
      <c r="T223" s="9">
        <f>IF(H223="","",IF(MAX(H223,I223)&lt;TODAY(),"Terminé",IF(H223&lt;=TODAY(),"En cours","À venir")))</f>
        <v/>
      </c>
    </row>
    <row r="224">
      <c r="A224" s="9" t="inlineStr">
        <is>
          <t>PD2-2627-018</t>
        </is>
      </c>
      <c r="B224" s="9" t="inlineStr">
        <is>
          <t>Rugby</t>
        </is>
      </c>
      <c r="C224" s="9" t="inlineStr">
        <is>
          <t>Pro D2</t>
        </is>
      </c>
      <c r="D224" s="9" t="inlineStr">
        <is>
          <t>2026-2027</t>
        </is>
      </c>
      <c r="E224" s="9" t="inlineStr">
        <is>
          <t>Saison régulière</t>
        </is>
      </c>
      <c r="F224" s="9" t="n">
        <v>18</v>
      </c>
      <c r="G224" s="9" t="inlineStr">
        <is>
          <t>Pro D2 – Journée 18</t>
        </is>
      </c>
      <c r="H224" s="10" t="n">
        <v>46408</v>
      </c>
      <c r="I224" s="10" t="n">
        <v>46409</v>
      </c>
      <c r="J224" s="11" t="n"/>
      <c r="K224" s="9" t="inlineStr">
        <is>
          <t>Europe/Paris</t>
        </is>
      </c>
      <c r="L224" s="9" t="n"/>
      <c r="M224" s="9" t="inlineStr">
        <is>
          <t>France</t>
        </is>
      </c>
      <c r="N224" s="9" t="inlineStr">
        <is>
          <t>Hommes</t>
        </is>
      </c>
      <c r="O224" s="9" t="inlineStr">
        <is>
          <t>Provisoire</t>
        </is>
      </c>
      <c r="P224" s="9" t="inlineStr">
        <is>
          <t>Oui</t>
        </is>
      </c>
      <c r="Q224" s="9" t="inlineStr">
        <is>
          <t>https://assets.lnr.fr/2/9/4/0/2/9/PROD2-Calendrier_26-27-1_e05e7a437154a5d2f0f49cb1bde6e3d5.pdf</t>
        </is>
      </c>
      <c r="R224" s="10" t="n">
        <v>46311</v>
      </c>
      <c r="S224" s="9" t="inlineStr">
        <is>
          <t>Jeudi–vendredi selon calendrier LNR ; jours et horaires détaillés à fixer</t>
        </is>
      </c>
      <c r="T224" s="9">
        <f>IF(H224="","",IF(MAX(H224,I224)&lt;TODAY(),"Terminé",IF(H224&lt;=TODAY(),"En cours","À venir")))</f>
        <v/>
      </c>
    </row>
    <row r="225">
      <c r="A225" s="9" t="inlineStr">
        <is>
          <t>PD2-2627-019</t>
        </is>
      </c>
      <c r="B225" s="9" t="inlineStr">
        <is>
          <t>Rugby</t>
        </is>
      </c>
      <c r="C225" s="9" t="inlineStr">
        <is>
          <t>Pro D2</t>
        </is>
      </c>
      <c r="D225" s="9" t="inlineStr">
        <is>
          <t>2026-2027</t>
        </is>
      </c>
      <c r="E225" s="9" t="inlineStr">
        <is>
          <t>Saison régulière</t>
        </is>
      </c>
      <c r="F225" s="9" t="n">
        <v>19</v>
      </c>
      <c r="G225" s="9" t="inlineStr">
        <is>
          <t>Pro D2 – Journée 19</t>
        </is>
      </c>
      <c r="H225" s="10" t="n">
        <v>46415</v>
      </c>
      <c r="I225" s="10" t="n">
        <v>46416</v>
      </c>
      <c r="J225" s="11" t="n"/>
      <c r="K225" s="9" t="inlineStr">
        <is>
          <t>Europe/Paris</t>
        </is>
      </c>
      <c r="L225" s="9" t="n"/>
      <c r="M225" s="9" t="inlineStr">
        <is>
          <t>France</t>
        </is>
      </c>
      <c r="N225" s="9" t="inlineStr">
        <is>
          <t>Hommes</t>
        </is>
      </c>
      <c r="O225" s="9" t="inlineStr">
        <is>
          <t>Provisoire</t>
        </is>
      </c>
      <c r="P225" s="9" t="inlineStr">
        <is>
          <t>Oui</t>
        </is>
      </c>
      <c r="Q225" s="9" t="inlineStr">
        <is>
          <t>https://assets.lnr.fr/2/9/4/0/2/9/PROD2-Calendrier_26-27-1_e05e7a437154a5d2f0f49cb1bde6e3d5.pdf</t>
        </is>
      </c>
      <c r="R225" s="10" t="n">
        <v>46311</v>
      </c>
      <c r="S225" s="9" t="inlineStr">
        <is>
          <t>Jeudi–vendredi selon calendrier LNR ; jours et horaires détaillés à fixer</t>
        </is>
      </c>
      <c r="T225" s="9">
        <f>IF(H225="","",IF(MAX(H225,I225)&lt;TODAY(),"Terminé",IF(H225&lt;=TODAY(),"En cours","À venir")))</f>
        <v/>
      </c>
    </row>
    <row r="226">
      <c r="A226" s="9" t="inlineStr">
        <is>
          <t>PD2-2627-020</t>
        </is>
      </c>
      <c r="B226" s="9" t="inlineStr">
        <is>
          <t>Rugby</t>
        </is>
      </c>
      <c r="C226" s="9" t="inlineStr">
        <is>
          <t>Pro D2</t>
        </is>
      </c>
      <c r="D226" s="9" t="inlineStr">
        <is>
          <t>2026-2027</t>
        </is>
      </c>
      <c r="E226" s="9" t="inlineStr">
        <is>
          <t>Saison régulière</t>
        </is>
      </c>
      <c r="F226" s="9" t="n">
        <v>20</v>
      </c>
      <c r="G226" s="9" t="inlineStr">
        <is>
          <t>Pro D2 – Journée 20</t>
        </is>
      </c>
      <c r="H226" s="10" t="n">
        <v>46429</v>
      </c>
      <c r="I226" s="10" t="n">
        <v>46430</v>
      </c>
      <c r="J226" s="11" t="n"/>
      <c r="K226" s="9" t="inlineStr">
        <is>
          <t>Europe/Paris</t>
        </is>
      </c>
      <c r="L226" s="9" t="n"/>
      <c r="M226" s="9" t="inlineStr">
        <is>
          <t>France</t>
        </is>
      </c>
      <c r="N226" s="9" t="inlineStr">
        <is>
          <t>Hommes</t>
        </is>
      </c>
      <c r="O226" s="9" t="inlineStr">
        <is>
          <t>Provisoire</t>
        </is>
      </c>
      <c r="P226" s="9" t="inlineStr">
        <is>
          <t>Oui</t>
        </is>
      </c>
      <c r="Q226" s="9" t="inlineStr">
        <is>
          <t>https://assets.lnr.fr/2/9/4/0/2/9/PROD2-Calendrier_26-27-1_e05e7a437154a5d2f0f49cb1bde6e3d5.pdf</t>
        </is>
      </c>
      <c r="R226" s="10" t="n">
        <v>46311</v>
      </c>
      <c r="S226" s="9" t="inlineStr">
        <is>
          <t>Jeudi–vendredi selon calendrier LNR ; jours et horaires détaillés à fixer</t>
        </is>
      </c>
      <c r="T226" s="9">
        <f>IF(H226="","",IF(MAX(H226,I226)&lt;TODAY(),"Terminé",IF(H226&lt;=TODAY(),"En cours","À venir")))</f>
        <v/>
      </c>
    </row>
    <row r="227">
      <c r="A227" s="9" t="inlineStr">
        <is>
          <t>PD2-2627-021</t>
        </is>
      </c>
      <c r="B227" s="9" t="inlineStr">
        <is>
          <t>Rugby</t>
        </is>
      </c>
      <c r="C227" s="9" t="inlineStr">
        <is>
          <t>Pro D2</t>
        </is>
      </c>
      <c r="D227" s="9" t="inlineStr">
        <is>
          <t>2026-2027</t>
        </is>
      </c>
      <c r="E227" s="9" t="inlineStr">
        <is>
          <t>Saison régulière</t>
        </is>
      </c>
      <c r="F227" s="9" t="n">
        <v>21</v>
      </c>
      <c r="G227" s="9" t="inlineStr">
        <is>
          <t>Pro D2 – Journée 21</t>
        </is>
      </c>
      <c r="H227" s="10" t="n">
        <v>46436</v>
      </c>
      <c r="I227" s="10" t="n">
        <v>46437</v>
      </c>
      <c r="J227" s="11" t="n"/>
      <c r="K227" s="9" t="inlineStr">
        <is>
          <t>Europe/Paris</t>
        </is>
      </c>
      <c r="L227" s="9" t="n"/>
      <c r="M227" s="9" t="inlineStr">
        <is>
          <t>France</t>
        </is>
      </c>
      <c r="N227" s="9" t="inlineStr">
        <is>
          <t>Hommes</t>
        </is>
      </c>
      <c r="O227" s="9" t="inlineStr">
        <is>
          <t>Provisoire</t>
        </is>
      </c>
      <c r="P227" s="9" t="inlineStr">
        <is>
          <t>Oui</t>
        </is>
      </c>
      <c r="Q227" s="9" t="inlineStr">
        <is>
          <t>https://assets.lnr.fr/2/9/4/0/2/9/PROD2-Calendrier_26-27-1_e05e7a437154a5d2f0f49cb1bde6e3d5.pdf</t>
        </is>
      </c>
      <c r="R227" s="10" t="n">
        <v>46311</v>
      </c>
      <c r="S227" s="9" t="inlineStr">
        <is>
          <t>Jeudi–vendredi selon calendrier LNR ; jours et horaires détaillés à fixer</t>
        </is>
      </c>
      <c r="T227" s="9">
        <f>IF(H227="","",IF(MAX(H227,I227)&lt;TODAY(),"Terminé",IF(H227&lt;=TODAY(),"En cours","À venir")))</f>
        <v/>
      </c>
    </row>
    <row r="228">
      <c r="A228" s="9" t="inlineStr">
        <is>
          <t>PD2-2627-022</t>
        </is>
      </c>
      <c r="B228" s="9" t="inlineStr">
        <is>
          <t>Rugby</t>
        </is>
      </c>
      <c r="C228" s="9" t="inlineStr">
        <is>
          <t>Pro D2</t>
        </is>
      </c>
      <c r="D228" s="9" t="inlineStr">
        <is>
          <t>2026-2027</t>
        </is>
      </c>
      <c r="E228" s="9" t="inlineStr">
        <is>
          <t>Saison régulière</t>
        </is>
      </c>
      <c r="F228" s="9" t="n">
        <v>22</v>
      </c>
      <c r="G228" s="9" t="inlineStr">
        <is>
          <t>Pro D2 – Journée 22</t>
        </is>
      </c>
      <c r="H228" s="10" t="n">
        <v>46443</v>
      </c>
      <c r="I228" s="10" t="n">
        <v>46444</v>
      </c>
      <c r="J228" s="11" t="n"/>
      <c r="K228" s="9" t="inlineStr">
        <is>
          <t>Europe/Paris</t>
        </is>
      </c>
      <c r="L228" s="9" t="n"/>
      <c r="M228" s="9" t="inlineStr">
        <is>
          <t>France</t>
        </is>
      </c>
      <c r="N228" s="9" t="inlineStr">
        <is>
          <t>Hommes</t>
        </is>
      </c>
      <c r="O228" s="9" t="inlineStr">
        <is>
          <t>Provisoire</t>
        </is>
      </c>
      <c r="P228" s="9" t="inlineStr">
        <is>
          <t>Oui</t>
        </is>
      </c>
      <c r="Q228" s="9" t="inlineStr">
        <is>
          <t>https://assets.lnr.fr/2/9/4/0/2/9/PROD2-Calendrier_26-27-1_e05e7a437154a5d2f0f49cb1bde6e3d5.pdf</t>
        </is>
      </c>
      <c r="R228" s="10" t="n">
        <v>46311</v>
      </c>
      <c r="S228" s="9" t="inlineStr">
        <is>
          <t>Jeudi–vendredi selon calendrier LNR ; jours et horaires détaillés à fixer</t>
        </is>
      </c>
      <c r="T228" s="9">
        <f>IF(H228="","",IF(MAX(H228,I228)&lt;TODAY(),"Terminé",IF(H228&lt;=TODAY(),"En cours","À venir")))</f>
        <v/>
      </c>
    </row>
    <row r="229">
      <c r="A229" s="9" t="inlineStr">
        <is>
          <t>PD2-2627-023</t>
        </is>
      </c>
      <c r="B229" s="9" t="inlineStr">
        <is>
          <t>Rugby</t>
        </is>
      </c>
      <c r="C229" s="9" t="inlineStr">
        <is>
          <t>Pro D2</t>
        </is>
      </c>
      <c r="D229" s="9" t="inlineStr">
        <is>
          <t>2026-2027</t>
        </is>
      </c>
      <c r="E229" s="9" t="inlineStr">
        <is>
          <t>Saison régulière</t>
        </is>
      </c>
      <c r="F229" s="9" t="n">
        <v>23</v>
      </c>
      <c r="G229" s="9" t="inlineStr">
        <is>
          <t>Pro D2 – Journée 23</t>
        </is>
      </c>
      <c r="H229" s="10" t="n">
        <v>46450</v>
      </c>
      <c r="I229" s="10" t="n">
        <v>46451</v>
      </c>
      <c r="J229" s="11" t="n"/>
      <c r="K229" s="9" t="inlineStr">
        <is>
          <t>Europe/Paris</t>
        </is>
      </c>
      <c r="L229" s="9" t="n"/>
      <c r="M229" s="9" t="inlineStr">
        <is>
          <t>France</t>
        </is>
      </c>
      <c r="N229" s="9" t="inlineStr">
        <is>
          <t>Hommes</t>
        </is>
      </c>
      <c r="O229" s="9" t="inlineStr">
        <is>
          <t>Provisoire</t>
        </is>
      </c>
      <c r="P229" s="9" t="inlineStr">
        <is>
          <t>Oui</t>
        </is>
      </c>
      <c r="Q229" s="9" t="inlineStr">
        <is>
          <t>https://assets.lnr.fr/2/9/4/0/2/9/PROD2-Calendrier_26-27-1_e05e7a437154a5d2f0f49cb1bde6e3d5.pdf</t>
        </is>
      </c>
      <c r="R229" s="10" t="n">
        <v>46311</v>
      </c>
      <c r="S229" s="9" t="inlineStr">
        <is>
          <t>Jeudi–vendredi selon calendrier LNR ; jours et horaires détaillés à fixer</t>
        </is>
      </c>
      <c r="T229" s="9">
        <f>IF(H229="","",IF(MAX(H229,I229)&lt;TODAY(),"Terminé",IF(H229&lt;=TODAY(),"En cours","À venir")))</f>
        <v/>
      </c>
    </row>
    <row r="230">
      <c r="A230" s="9" t="inlineStr">
        <is>
          <t>PD2-2627-024</t>
        </is>
      </c>
      <c r="B230" s="9" t="inlineStr">
        <is>
          <t>Rugby</t>
        </is>
      </c>
      <c r="C230" s="9" t="inlineStr">
        <is>
          <t>Pro D2</t>
        </is>
      </c>
      <c r="D230" s="9" t="inlineStr">
        <is>
          <t>2026-2027</t>
        </is>
      </c>
      <c r="E230" s="9" t="inlineStr">
        <is>
          <t>Saison régulière</t>
        </is>
      </c>
      <c r="F230" s="9" t="n">
        <v>24</v>
      </c>
      <c r="G230" s="9" t="inlineStr">
        <is>
          <t>Pro D2 – Journée 24</t>
        </is>
      </c>
      <c r="H230" s="10" t="n">
        <v>46471</v>
      </c>
      <c r="I230" s="10" t="n">
        <v>46472</v>
      </c>
      <c r="J230" s="11" t="n"/>
      <c r="K230" s="9" t="inlineStr">
        <is>
          <t>Europe/Paris</t>
        </is>
      </c>
      <c r="L230" s="9" t="n"/>
      <c r="M230" s="9" t="inlineStr">
        <is>
          <t>France</t>
        </is>
      </c>
      <c r="N230" s="9" t="inlineStr">
        <is>
          <t>Hommes</t>
        </is>
      </c>
      <c r="O230" s="9" t="inlineStr">
        <is>
          <t>Provisoire</t>
        </is>
      </c>
      <c r="P230" s="9" t="inlineStr">
        <is>
          <t>Oui</t>
        </is>
      </c>
      <c r="Q230" s="9" t="inlineStr">
        <is>
          <t>https://assets.lnr.fr/2/9/4/0/2/9/PROD2-Calendrier_26-27-1_e05e7a437154a5d2f0f49cb1bde6e3d5.pdf</t>
        </is>
      </c>
      <c r="R230" s="10" t="n">
        <v>46311</v>
      </c>
      <c r="S230" s="9" t="inlineStr">
        <is>
          <t>Jeudi–vendredi selon calendrier LNR ; jours et horaires détaillés à fixer</t>
        </is>
      </c>
      <c r="T230" s="9">
        <f>IF(H230="","",IF(MAX(H230,I230)&lt;TODAY(),"Terminé",IF(H230&lt;=TODAY(),"En cours","À venir")))</f>
        <v/>
      </c>
    </row>
    <row r="231">
      <c r="A231" s="9" t="inlineStr">
        <is>
          <t>PD2-2627-025</t>
        </is>
      </c>
      <c r="B231" s="9" t="inlineStr">
        <is>
          <t>Rugby</t>
        </is>
      </c>
      <c r="C231" s="9" t="inlineStr">
        <is>
          <t>Pro D2</t>
        </is>
      </c>
      <c r="D231" s="9" t="inlineStr">
        <is>
          <t>2026-2027</t>
        </is>
      </c>
      <c r="E231" s="9" t="inlineStr">
        <is>
          <t>Saison régulière</t>
        </is>
      </c>
      <c r="F231" s="9" t="n">
        <v>25</v>
      </c>
      <c r="G231" s="9" t="inlineStr">
        <is>
          <t>Pro D2 – Journée 25</t>
        </is>
      </c>
      <c r="H231" s="10" t="n">
        <v>46478</v>
      </c>
      <c r="I231" s="10" t="n">
        <v>46479</v>
      </c>
      <c r="J231" s="11" t="n"/>
      <c r="K231" s="9" t="inlineStr">
        <is>
          <t>Europe/Paris</t>
        </is>
      </c>
      <c r="L231" s="9" t="n"/>
      <c r="M231" s="9" t="inlineStr">
        <is>
          <t>France</t>
        </is>
      </c>
      <c r="N231" s="9" t="inlineStr">
        <is>
          <t>Hommes</t>
        </is>
      </c>
      <c r="O231" s="9" t="inlineStr">
        <is>
          <t>Provisoire</t>
        </is>
      </c>
      <c r="P231" s="9" t="inlineStr">
        <is>
          <t>Oui</t>
        </is>
      </c>
      <c r="Q231" s="9" t="inlineStr">
        <is>
          <t>https://assets.lnr.fr/2/9/4/0/2/9/PROD2-Calendrier_26-27-1_e05e7a437154a5d2f0f49cb1bde6e3d5.pdf</t>
        </is>
      </c>
      <c r="R231" s="10" t="n">
        <v>46311</v>
      </c>
      <c r="S231" s="9" t="inlineStr">
        <is>
          <t>Jeudi–vendredi selon calendrier LNR ; jours et horaires détaillés à fixer</t>
        </is>
      </c>
      <c r="T231" s="9">
        <f>IF(H231="","",IF(MAX(H231,I231)&lt;TODAY(),"Terminé",IF(H231&lt;=TODAY(),"En cours","À venir")))</f>
        <v/>
      </c>
    </row>
    <row r="232">
      <c r="A232" s="9" t="inlineStr">
        <is>
          <t>PD2-2627-026</t>
        </is>
      </c>
      <c r="B232" s="9" t="inlineStr">
        <is>
          <t>Rugby</t>
        </is>
      </c>
      <c r="C232" s="9" t="inlineStr">
        <is>
          <t>Pro D2</t>
        </is>
      </c>
      <c r="D232" s="9" t="inlineStr">
        <is>
          <t>2026-2027</t>
        </is>
      </c>
      <c r="E232" s="9" t="inlineStr">
        <is>
          <t>Saison régulière</t>
        </is>
      </c>
      <c r="F232" s="9" t="n">
        <v>26</v>
      </c>
      <c r="G232" s="9" t="inlineStr">
        <is>
          <t>Pro D2 – Journée 26</t>
        </is>
      </c>
      <c r="H232" s="10" t="n">
        <v>46486</v>
      </c>
      <c r="I232" s="10" t="n">
        <v>46487</v>
      </c>
      <c r="J232" s="11" t="n"/>
      <c r="K232" s="9" t="inlineStr">
        <is>
          <t>Europe/Paris</t>
        </is>
      </c>
      <c r="L232" s="9" t="n"/>
      <c r="M232" s="9" t="inlineStr">
        <is>
          <t>France</t>
        </is>
      </c>
      <c r="N232" s="9" t="inlineStr">
        <is>
          <t>Hommes</t>
        </is>
      </c>
      <c r="O232" s="9" t="inlineStr">
        <is>
          <t>Provisoire</t>
        </is>
      </c>
      <c r="P232" s="9" t="inlineStr">
        <is>
          <t>Oui</t>
        </is>
      </c>
      <c r="Q232" s="9" t="inlineStr">
        <is>
          <t>https://prod2.lnr.fr/calendrier-et-resultats/2026-2027/j26</t>
        </is>
      </c>
      <c r="R232" s="10" t="n">
        <v>46311</v>
      </c>
      <c r="S232" s="9" t="inlineStr">
        <is>
          <t>Page LNR : vendredi–samedi (PDF initial : jeudi 8–vendredi 9)</t>
        </is>
      </c>
      <c r="T232" s="9">
        <f>IF(H232="","",IF(MAX(H232,I232)&lt;TODAY(),"Terminé",IF(H232&lt;=TODAY(),"En cours","À venir")))</f>
        <v/>
      </c>
    </row>
    <row r="233">
      <c r="A233" s="9" t="inlineStr">
        <is>
          <t>PD2-2627-027</t>
        </is>
      </c>
      <c r="B233" s="9" t="inlineStr">
        <is>
          <t>Rugby</t>
        </is>
      </c>
      <c r="C233" s="9" t="inlineStr">
        <is>
          <t>Pro D2</t>
        </is>
      </c>
      <c r="D233" s="9" t="inlineStr">
        <is>
          <t>2026-2027</t>
        </is>
      </c>
      <c r="E233" s="9" t="inlineStr">
        <is>
          <t>Saison régulière</t>
        </is>
      </c>
      <c r="F233" s="9" t="n">
        <v>27</v>
      </c>
      <c r="G233" s="9" t="inlineStr">
        <is>
          <t>Pro D2 – Journée 27</t>
        </is>
      </c>
      <c r="H233" s="10" t="n">
        <v>46492</v>
      </c>
      <c r="I233" s="10" t="n">
        <v>46493</v>
      </c>
      <c r="J233" s="11" t="n"/>
      <c r="K233" s="9" t="inlineStr">
        <is>
          <t>Europe/Paris</t>
        </is>
      </c>
      <c r="L233" s="9" t="n"/>
      <c r="M233" s="9" t="inlineStr">
        <is>
          <t>France</t>
        </is>
      </c>
      <c r="N233" s="9" t="inlineStr">
        <is>
          <t>Hommes</t>
        </is>
      </c>
      <c r="O233" s="9" t="inlineStr">
        <is>
          <t>Provisoire</t>
        </is>
      </c>
      <c r="P233" s="9" t="inlineStr">
        <is>
          <t>Oui</t>
        </is>
      </c>
      <c r="Q233" s="9" t="inlineStr">
        <is>
          <t>https://assets.lnr.fr/2/9/4/0/2/9/PROD2-Calendrier_26-27-1_e05e7a437154a5d2f0f49cb1bde6e3d5.pdf</t>
        </is>
      </c>
      <c r="R233" s="10" t="n">
        <v>46311</v>
      </c>
      <c r="S233" s="9" t="inlineStr">
        <is>
          <t>Jeudi–vendredi selon calendrier LNR ; jours et horaires détaillés à fixer</t>
        </is>
      </c>
      <c r="T233" s="9">
        <f>IF(H233="","",IF(MAX(H233,I233)&lt;TODAY(),"Terminé",IF(H233&lt;=TODAY(),"En cours","À venir")))</f>
        <v/>
      </c>
    </row>
    <row r="234">
      <c r="A234" s="9" t="inlineStr">
        <is>
          <t>PD2-2627-028</t>
        </is>
      </c>
      <c r="B234" s="9" t="inlineStr">
        <is>
          <t>Rugby</t>
        </is>
      </c>
      <c r="C234" s="9" t="inlineStr">
        <is>
          <t>Pro D2</t>
        </is>
      </c>
      <c r="D234" s="9" t="inlineStr">
        <is>
          <t>2026-2027</t>
        </is>
      </c>
      <c r="E234" s="9" t="inlineStr">
        <is>
          <t>Saison régulière</t>
        </is>
      </c>
      <c r="F234" s="9" t="n">
        <v>28</v>
      </c>
      <c r="G234" s="9" t="inlineStr">
        <is>
          <t>Pro D2 – Journée 28</t>
        </is>
      </c>
      <c r="H234" s="10" t="n">
        <v>46499</v>
      </c>
      <c r="I234" s="10" t="n">
        <v>46500</v>
      </c>
      <c r="J234" s="11" t="n"/>
      <c r="K234" s="9" t="inlineStr">
        <is>
          <t>Europe/Paris</t>
        </is>
      </c>
      <c r="L234" s="9" t="n"/>
      <c r="M234" s="9" t="inlineStr">
        <is>
          <t>France</t>
        </is>
      </c>
      <c r="N234" s="9" t="inlineStr">
        <is>
          <t>Hommes</t>
        </is>
      </c>
      <c r="O234" s="9" t="inlineStr">
        <is>
          <t>Provisoire</t>
        </is>
      </c>
      <c r="P234" s="9" t="inlineStr">
        <is>
          <t>Oui</t>
        </is>
      </c>
      <c r="Q234" s="9" t="inlineStr">
        <is>
          <t>https://www.lnr.fr/actualite/calendrier-20262027-les-dates-connues</t>
        </is>
      </c>
      <c r="R234" s="10" t="n">
        <v>46311</v>
      </c>
      <c r="S234" s="9" t="inlineStr">
        <is>
          <t>Fan Days</t>
        </is>
      </c>
      <c r="T234" s="9">
        <f>IF(H234="","",IF(MAX(H234,I234)&lt;TODAY(),"Terminé",IF(H234&lt;=TODAY(),"En cours","À venir")))</f>
        <v/>
      </c>
    </row>
    <row r="235">
      <c r="A235" s="9" t="inlineStr">
        <is>
          <t>PD2-2627-029</t>
        </is>
      </c>
      <c r="B235" s="9" t="inlineStr">
        <is>
          <t>Rugby</t>
        </is>
      </c>
      <c r="C235" s="9" t="inlineStr">
        <is>
          <t>Pro D2</t>
        </is>
      </c>
      <c r="D235" s="9" t="inlineStr">
        <is>
          <t>2026-2027</t>
        </is>
      </c>
      <c r="E235" s="9" t="inlineStr">
        <is>
          <t>Saison régulière</t>
        </is>
      </c>
      <c r="F235" s="9" t="n">
        <v>29</v>
      </c>
      <c r="G235" s="9" t="inlineStr">
        <is>
          <t>Pro D2 – Journée 29</t>
        </is>
      </c>
      <c r="H235" s="10" t="n">
        <v>46513</v>
      </c>
      <c r="I235" s="10" t="n">
        <v>46514</v>
      </c>
      <c r="J235" s="11" t="n"/>
      <c r="K235" s="9" t="inlineStr">
        <is>
          <t>Europe/Paris</t>
        </is>
      </c>
      <c r="L235" s="9" t="n"/>
      <c r="M235" s="9" t="inlineStr">
        <is>
          <t>France</t>
        </is>
      </c>
      <c r="N235" s="9" t="inlineStr">
        <is>
          <t>Hommes</t>
        </is>
      </c>
      <c r="O235" s="9" t="inlineStr">
        <is>
          <t>Provisoire</t>
        </is>
      </c>
      <c r="P235" s="9" t="inlineStr">
        <is>
          <t>Oui</t>
        </is>
      </c>
      <c r="Q235" s="9" t="inlineStr">
        <is>
          <t>https://assets.lnr.fr/2/9/4/0/2/9/PROD2-Calendrier_26-27-1_e05e7a437154a5d2f0f49cb1bde6e3d5.pdf</t>
        </is>
      </c>
      <c r="R235" s="10" t="n">
        <v>46311</v>
      </c>
      <c r="S235" s="9" t="inlineStr">
        <is>
          <t>Jeudi–vendredi selon calendrier LNR ; jours et horaires détaillés à fixer</t>
        </is>
      </c>
      <c r="T235" s="9">
        <f>IF(H235="","",IF(MAX(H235,I235)&lt;TODAY(),"Terminé",IF(H235&lt;=TODAY(),"En cours","À venir")))</f>
        <v/>
      </c>
    </row>
    <row r="236">
      <c r="A236" s="9" t="inlineStr">
        <is>
          <t>PD2-2627-030</t>
        </is>
      </c>
      <c r="B236" s="9" t="inlineStr">
        <is>
          <t>Rugby</t>
        </is>
      </c>
      <c r="C236" s="9" t="inlineStr">
        <is>
          <t>Pro D2</t>
        </is>
      </c>
      <c r="D236" s="9" t="inlineStr">
        <is>
          <t>2026-2027</t>
        </is>
      </c>
      <c r="E236" s="9" t="inlineStr">
        <is>
          <t>Saison régulière</t>
        </is>
      </c>
      <c r="F236" s="9" t="n">
        <v>30</v>
      </c>
      <c r="G236" s="9" t="inlineStr">
        <is>
          <t>Pro D2 – Journée 30</t>
        </is>
      </c>
      <c r="H236" s="10" t="n">
        <v>46520</v>
      </c>
      <c r="I236" s="10" t="n">
        <v>46521</v>
      </c>
      <c r="J236" s="11" t="n"/>
      <c r="K236" s="9" t="inlineStr">
        <is>
          <t>Europe/Paris</t>
        </is>
      </c>
      <c r="L236" s="9" t="n"/>
      <c r="M236" s="9" t="inlineStr">
        <is>
          <t>France</t>
        </is>
      </c>
      <c r="N236" s="9" t="inlineStr">
        <is>
          <t>Hommes</t>
        </is>
      </c>
      <c r="O236" s="9" t="inlineStr">
        <is>
          <t>Provisoire</t>
        </is>
      </c>
      <c r="P236" s="9" t="inlineStr">
        <is>
          <t>Oui</t>
        </is>
      </c>
      <c r="Q236" s="9" t="inlineStr">
        <is>
          <t>https://www.lnr.fr/actualite/calendrier-20262027-les-dates-connues</t>
        </is>
      </c>
      <c r="R236" s="10" t="n">
        <v>46311</v>
      </c>
      <c r="S236" s="9" t="inlineStr">
        <is>
          <t>Dernière journée de saison régulière</t>
        </is>
      </c>
      <c r="T236" s="9">
        <f>IF(H236="","",IF(MAX(H236,I236)&lt;TODAY(),"Terminé",IF(H236&lt;=TODAY(),"En cours","À venir")))</f>
        <v/>
      </c>
    </row>
    <row r="237">
      <c r="A237" s="9" t="inlineStr">
        <is>
          <t>PD2-2627-031</t>
        </is>
      </c>
      <c r="B237" s="9" t="inlineStr">
        <is>
          <t>Rugby</t>
        </is>
      </c>
      <c r="C237" s="9" t="inlineStr">
        <is>
          <t>Pro D2</t>
        </is>
      </c>
      <c r="D237" s="9" t="inlineStr">
        <is>
          <t>2026-2027</t>
        </is>
      </c>
      <c r="E237" s="9" t="inlineStr">
        <is>
          <t>Barrages</t>
        </is>
      </c>
      <c r="F237" s="9" t="n"/>
      <c r="G237" s="9" t="inlineStr">
        <is>
          <t>Pro D2 – Barrages</t>
        </is>
      </c>
      <c r="H237" s="10" t="n">
        <v>46527</v>
      </c>
      <c r="I237" s="10" t="n">
        <v>46530</v>
      </c>
      <c r="J237" s="11" t="n"/>
      <c r="K237" s="9" t="inlineStr">
        <is>
          <t>Europe/Paris</t>
        </is>
      </c>
      <c r="L237" s="9" t="n"/>
      <c r="M237" s="9" t="inlineStr">
        <is>
          <t>France</t>
        </is>
      </c>
      <c r="N237" s="9" t="inlineStr">
        <is>
          <t>Hommes</t>
        </is>
      </c>
      <c r="O237" s="9" t="inlineStr">
        <is>
          <t>Provisoire</t>
        </is>
      </c>
      <c r="P237" s="9" t="inlineStr">
        <is>
          <t>Oui</t>
        </is>
      </c>
      <c r="Q237" s="9" t="inlineStr">
        <is>
          <t>https://www.lnr.fr/actualite/calendrier-20262027-les-dates-connues</t>
        </is>
      </c>
      <c r="R237" s="10" t="n">
        <v>46311</v>
      </c>
      <c r="S237" s="9" t="n"/>
      <c r="T237" s="9">
        <f>IF(H237="","",IF(MAX(H237,I237)&lt;TODAY(),"Terminé",IF(H237&lt;=TODAY(),"En cours","À venir")))</f>
        <v/>
      </c>
    </row>
    <row r="238">
      <c r="A238" s="9" t="inlineStr">
        <is>
          <t>PD2-2627-032</t>
        </is>
      </c>
      <c r="B238" s="9" t="inlineStr">
        <is>
          <t>Rugby</t>
        </is>
      </c>
      <c r="C238" s="9" t="inlineStr">
        <is>
          <t>Pro D2</t>
        </is>
      </c>
      <c r="D238" s="9" t="inlineStr">
        <is>
          <t>2026-2027</t>
        </is>
      </c>
      <c r="E238" s="9" t="inlineStr">
        <is>
          <t>Demi-finales</t>
        </is>
      </c>
      <c r="F238" s="9" t="n"/>
      <c r="G238" s="9" t="inlineStr">
        <is>
          <t>Pro D2 – Demi-finales</t>
        </is>
      </c>
      <c r="H238" s="10" t="n">
        <v>46534</v>
      </c>
      <c r="I238" s="10" t="n">
        <v>46537</v>
      </c>
      <c r="J238" s="11" t="n"/>
      <c r="K238" s="9" t="inlineStr">
        <is>
          <t>Europe/Paris</t>
        </is>
      </c>
      <c r="L238" s="9" t="n"/>
      <c r="M238" s="9" t="inlineStr">
        <is>
          <t>France</t>
        </is>
      </c>
      <c r="N238" s="9" t="inlineStr">
        <is>
          <t>Hommes</t>
        </is>
      </c>
      <c r="O238" s="9" t="inlineStr">
        <is>
          <t>Provisoire</t>
        </is>
      </c>
      <c r="P238" s="9" t="inlineStr">
        <is>
          <t>Oui</t>
        </is>
      </c>
      <c r="Q238" s="9" t="inlineStr">
        <is>
          <t>https://www.lnr.fr/actualite/calendrier-20262027-les-dates-connues</t>
        </is>
      </c>
      <c r="R238" s="10" t="n">
        <v>46311</v>
      </c>
      <c r="S238" s="9" t="n"/>
      <c r="T238" s="9">
        <f>IF(H238="","",IF(MAX(H238,I238)&lt;TODAY(),"Terminé",IF(H238&lt;=TODAY(),"En cours","À venir")))</f>
        <v/>
      </c>
    </row>
    <row r="239">
      <c r="A239" s="9" t="inlineStr">
        <is>
          <t>PD2-2627-033</t>
        </is>
      </c>
      <c r="B239" s="9" t="inlineStr">
        <is>
          <t>Rugby</t>
        </is>
      </c>
      <c r="C239" s="9" t="inlineStr">
        <is>
          <t>Pro D2</t>
        </is>
      </c>
      <c r="D239" s="9" t="inlineStr">
        <is>
          <t>2026-2027</t>
        </is>
      </c>
      <c r="E239" s="9" t="inlineStr">
        <is>
          <t>Finale</t>
        </is>
      </c>
      <c r="F239" s="9" t="n"/>
      <c r="G239" s="9" t="inlineStr">
        <is>
          <t>Pro D2 – Finale</t>
        </is>
      </c>
      <c r="H239" s="10" t="n">
        <v>46542</v>
      </c>
      <c r="I239" s="10" t="n">
        <v>46544</v>
      </c>
      <c r="J239" s="11" t="n"/>
      <c r="K239" s="9" t="inlineStr">
        <is>
          <t>Europe/Paris</t>
        </is>
      </c>
      <c r="L239" s="9" t="inlineStr">
        <is>
          <t>Stade Ernest-Wallon, Toulouse</t>
        </is>
      </c>
      <c r="M239" s="9" t="inlineStr">
        <is>
          <t>France</t>
        </is>
      </c>
      <c r="N239" s="9" t="inlineStr">
        <is>
          <t>Hommes</t>
        </is>
      </c>
      <c r="O239" s="9" t="inlineStr">
        <is>
          <t>Provisoire</t>
        </is>
      </c>
      <c r="P239" s="9" t="inlineStr">
        <is>
          <t>Oui</t>
        </is>
      </c>
      <c r="Q239" s="9" t="inlineStr">
        <is>
          <t>https://www.lnr.fr/actualite/calendrier-20262027-les-dates-connues</t>
        </is>
      </c>
      <c r="R239" s="10" t="n">
        <v>46311</v>
      </c>
      <c r="S239" s="9" t="inlineStr">
        <is>
          <t>« Week-end du 4 juin » ; jour et horaire exacts à confirmer</t>
        </is>
      </c>
      <c r="T239" s="9">
        <f>IF(H239="","",IF(MAX(H239,I239)&lt;TODAY(),"Terminé",IF(H239&lt;=TODAY(),"En cours","À venir")))</f>
        <v/>
      </c>
    </row>
    <row r="240">
      <c r="A240" s="9" t="inlineStr">
        <is>
          <t>PD2-2627-034</t>
        </is>
      </c>
      <c r="B240" s="9" t="inlineStr">
        <is>
          <t>Rugby</t>
        </is>
      </c>
      <c r="C240" s="9" t="inlineStr">
        <is>
          <t>Pro D2</t>
        </is>
      </c>
      <c r="D240" s="9" t="inlineStr">
        <is>
          <t>2026-2027</t>
        </is>
      </c>
      <c r="E240" s="9" t="inlineStr">
        <is>
          <t>Access Match</t>
        </is>
      </c>
      <c r="F240" s="9" t="n"/>
      <c r="G240" s="9" t="inlineStr">
        <is>
          <t>Pro D2 – Access Match TOP 14 (barrage d'accession)</t>
        </is>
      </c>
      <c r="H240" s="10" t="n">
        <v>46550</v>
      </c>
      <c r="I240" s="10" t="n">
        <v>46551</v>
      </c>
      <c r="J240" s="11" t="n"/>
      <c r="K240" s="9" t="inlineStr">
        <is>
          <t>Europe/Paris</t>
        </is>
      </c>
      <c r="L240" s="9" t="n"/>
      <c r="M240" s="9" t="inlineStr">
        <is>
          <t>France</t>
        </is>
      </c>
      <c r="N240" s="9" t="inlineStr">
        <is>
          <t>Hommes</t>
        </is>
      </c>
      <c r="O240" s="9" t="inlineStr">
        <is>
          <t>Provisoire</t>
        </is>
      </c>
      <c r="P240" s="9" t="inlineStr">
        <is>
          <t>Oui</t>
        </is>
      </c>
      <c r="Q240" s="9" t="inlineStr">
        <is>
          <t>https://www.lnr.fr/actualite/calendrier-20262027-les-dates-connues</t>
        </is>
      </c>
      <c r="R240" s="10" t="n">
        <v>46311</v>
      </c>
      <c r="S240" s="9" t="inlineStr">
        <is>
          <t>Le 12 ou le 13 juin ; 2e de Pro D2 vs 13e de Top 14</t>
        </is>
      </c>
      <c r="T240" s="9">
        <f>IF(H240="","",IF(MAX(H240,I240)&lt;TODAY(),"Terminé",IF(H240&lt;=TODAY(),"En cours","À venir")))</f>
        <v/>
      </c>
    </row>
    <row r="241">
      <c r="A241" s="9" t="inlineStr">
        <is>
          <t>CC-2627-001</t>
        </is>
      </c>
      <c r="B241" s="9" t="inlineStr">
        <is>
          <t>Rugby</t>
        </is>
      </c>
      <c r="C241" s="9" t="inlineStr">
        <is>
          <t>Champions Cup</t>
        </is>
      </c>
      <c r="D241" s="9" t="inlineStr">
        <is>
          <t>2026-2027</t>
        </is>
      </c>
      <c r="E241" s="9" t="inlineStr">
        <is>
          <t>Phase de poules</t>
        </is>
      </c>
      <c r="F241" s="9" t="n">
        <v>1</v>
      </c>
      <c r="G241" s="9" t="inlineStr">
        <is>
          <t>Champions Cup – Journée 1</t>
        </is>
      </c>
      <c r="H241" s="10" t="n">
        <v>46311</v>
      </c>
      <c r="I241" s="10" t="n">
        <v>46313</v>
      </c>
      <c r="J241" s="11" t="n"/>
      <c r="K241" s="9" t="inlineStr">
        <is>
          <t>Europe/Paris</t>
        </is>
      </c>
      <c r="L241" s="9" t="n"/>
      <c r="M241" s="9" t="inlineStr">
        <is>
          <t>Europe</t>
        </is>
      </c>
      <c r="N241" s="9" t="inlineStr">
        <is>
          <t>Hommes</t>
        </is>
      </c>
      <c r="O241" s="9" t="inlineStr">
        <is>
          <t>Officiel</t>
        </is>
      </c>
      <c r="P241" s="9" t="inlineStr">
        <is>
          <t>Oui</t>
        </is>
      </c>
      <c r="Q241" s="9" t="inlineStr">
        <is>
          <t>https://www.epcrugby.com/champions-cup/content/epcr-confirms-lyon-2027-finals-and-202627-season-dates-with-investec-champions-cup-and-epcr-challenge-cup-returning-to-october-start</t>
        </is>
      </c>
      <c r="R241" s="10" t="n">
        <v>46311</v>
      </c>
      <c r="S241" s="9" t="n"/>
      <c r="T241" s="9">
        <f>IF(H241="","",IF(MAX(H241,I241)&lt;TODAY(),"Terminé",IF(H241&lt;=TODAY(),"En cours","À venir")))</f>
        <v/>
      </c>
    </row>
    <row r="242">
      <c r="A242" s="9" t="inlineStr">
        <is>
          <t>CC-2627-002</t>
        </is>
      </c>
      <c r="B242" s="9" t="inlineStr">
        <is>
          <t>Rugby</t>
        </is>
      </c>
      <c r="C242" s="9" t="inlineStr">
        <is>
          <t>Champions Cup</t>
        </is>
      </c>
      <c r="D242" s="9" t="inlineStr">
        <is>
          <t>2026-2027</t>
        </is>
      </c>
      <c r="E242" s="9" t="inlineStr">
        <is>
          <t>Phase de poules</t>
        </is>
      </c>
      <c r="F242" s="9" t="n">
        <v>2</v>
      </c>
      <c r="G242" s="9" t="inlineStr">
        <is>
          <t>Champions Cup – Journée 2</t>
        </is>
      </c>
      <c r="H242" s="10" t="n">
        <v>46367</v>
      </c>
      <c r="I242" s="10" t="n">
        <v>46369</v>
      </c>
      <c r="J242" s="11" t="n"/>
      <c r="K242" s="9" t="inlineStr">
        <is>
          <t>Europe/Paris</t>
        </is>
      </c>
      <c r="L242" s="9" t="n"/>
      <c r="M242" s="9" t="inlineStr">
        <is>
          <t>Europe</t>
        </is>
      </c>
      <c r="N242" s="9" t="inlineStr">
        <is>
          <t>Hommes</t>
        </is>
      </c>
      <c r="O242" s="9" t="inlineStr">
        <is>
          <t>Officiel</t>
        </is>
      </c>
      <c r="P242" s="9" t="inlineStr">
        <is>
          <t>Oui</t>
        </is>
      </c>
      <c r="Q242" s="9" t="inlineStr">
        <is>
          <t>https://www.munsterrugby.ie/2026/02/26/epcr-announce-key-dates-for-2026-27/</t>
        </is>
      </c>
      <c r="R242" s="10" t="n">
        <v>46311</v>
      </c>
      <c r="S242" s="9" t="n"/>
      <c r="T242" s="9">
        <f>IF(H242="","",IF(MAX(H242,I242)&lt;TODAY(),"Terminé",IF(H242&lt;=TODAY(),"En cours","À venir")))</f>
        <v/>
      </c>
    </row>
    <row r="243">
      <c r="A243" s="9" t="inlineStr">
        <is>
          <t>CC-2627-003</t>
        </is>
      </c>
      <c r="B243" s="9" t="inlineStr">
        <is>
          <t>Rugby</t>
        </is>
      </c>
      <c r="C243" s="9" t="inlineStr">
        <is>
          <t>Champions Cup</t>
        </is>
      </c>
      <c r="D243" s="9" t="inlineStr">
        <is>
          <t>2026-2027</t>
        </is>
      </c>
      <c r="E243" s="9" t="inlineStr">
        <is>
          <t>Phase de poules</t>
        </is>
      </c>
      <c r="F243" s="9" t="n">
        <v>3</v>
      </c>
      <c r="G243" s="9" t="inlineStr">
        <is>
          <t>Champions Cup – Journée 3</t>
        </is>
      </c>
      <c r="H243" s="10" t="n">
        <v>46395</v>
      </c>
      <c r="I243" s="10" t="n">
        <v>46397</v>
      </c>
      <c r="J243" s="11" t="n"/>
      <c r="K243" s="9" t="inlineStr">
        <is>
          <t>Europe/Paris</t>
        </is>
      </c>
      <c r="L243" s="9" t="n"/>
      <c r="M243" s="9" t="inlineStr">
        <is>
          <t>Europe</t>
        </is>
      </c>
      <c r="N243" s="9" t="inlineStr">
        <is>
          <t>Hommes</t>
        </is>
      </c>
      <c r="O243" s="9" t="inlineStr">
        <is>
          <t>Officiel</t>
        </is>
      </c>
      <c r="P243" s="9" t="inlineStr">
        <is>
          <t>Oui</t>
        </is>
      </c>
      <c r="Q243" s="9" t="inlineStr">
        <is>
          <t>https://www.munsterrugby.ie/2026/02/26/epcr-announce-key-dates-for-2026-27/</t>
        </is>
      </c>
      <c r="R243" s="10" t="n">
        <v>46311</v>
      </c>
      <c r="S243" s="9" t="n"/>
      <c r="T243" s="9">
        <f>IF(H243="","",IF(MAX(H243,I243)&lt;TODAY(),"Terminé",IF(H243&lt;=TODAY(),"En cours","À venir")))</f>
        <v/>
      </c>
    </row>
    <row r="244">
      <c r="A244" s="9" t="inlineStr">
        <is>
          <t>CC-2627-004</t>
        </is>
      </c>
      <c r="B244" s="9" t="inlineStr">
        <is>
          <t>Rugby</t>
        </is>
      </c>
      <c r="C244" s="9" t="inlineStr">
        <is>
          <t>Champions Cup</t>
        </is>
      </c>
      <c r="D244" s="9" t="inlineStr">
        <is>
          <t>2026-2027</t>
        </is>
      </c>
      <c r="E244" s="9" t="inlineStr">
        <is>
          <t>Phase de poules</t>
        </is>
      </c>
      <c r="F244" s="9" t="n">
        <v>4</v>
      </c>
      <c r="G244" s="9" t="inlineStr">
        <is>
          <t>Champions Cup – Journée 4</t>
        </is>
      </c>
      <c r="H244" s="10" t="n">
        <v>46402</v>
      </c>
      <c r="I244" s="10" t="n">
        <v>46404</v>
      </c>
      <c r="J244" s="11" t="n"/>
      <c r="K244" s="9" t="inlineStr">
        <is>
          <t>Europe/Paris</t>
        </is>
      </c>
      <c r="L244" s="9" t="n"/>
      <c r="M244" s="9" t="inlineStr">
        <is>
          <t>Europe</t>
        </is>
      </c>
      <c r="N244" s="9" t="inlineStr">
        <is>
          <t>Hommes</t>
        </is>
      </c>
      <c r="O244" s="9" t="inlineStr">
        <is>
          <t>Officiel</t>
        </is>
      </c>
      <c r="P244" s="9" t="inlineStr">
        <is>
          <t>Oui</t>
        </is>
      </c>
      <c r="Q244" s="9" t="inlineStr">
        <is>
          <t>https://www.munsterrugby.ie/2026/02/26/epcr-announce-key-dates-for-2026-27/</t>
        </is>
      </c>
      <c r="R244" s="10" t="n">
        <v>46311</v>
      </c>
      <c r="S244" s="9" t="n"/>
      <c r="T244" s="9">
        <f>IF(H244="","",IF(MAX(H244,I244)&lt;TODAY(),"Terminé",IF(H244&lt;=TODAY(),"En cours","À venir")))</f>
        <v/>
      </c>
    </row>
    <row r="245">
      <c r="A245" s="9" t="inlineStr">
        <is>
          <t>CC-2627-005</t>
        </is>
      </c>
      <c r="B245" s="9" t="inlineStr">
        <is>
          <t>Rugby</t>
        </is>
      </c>
      <c r="C245" s="9" t="inlineStr">
        <is>
          <t>Champions Cup</t>
        </is>
      </c>
      <c r="D245" s="9" t="inlineStr">
        <is>
          <t>2026-2027</t>
        </is>
      </c>
      <c r="E245" s="9" t="inlineStr">
        <is>
          <t>Huitièmes de finale</t>
        </is>
      </c>
      <c r="F245" s="9" t="n"/>
      <c r="G245" s="9" t="inlineStr">
        <is>
          <t>Champions Cup – Huitièmes de finale</t>
        </is>
      </c>
      <c r="H245" s="10" t="n">
        <v>46479</v>
      </c>
      <c r="I245" s="10" t="n">
        <v>46481</v>
      </c>
      <c r="J245" s="11" t="n"/>
      <c r="K245" s="9" t="inlineStr">
        <is>
          <t>Europe/Paris</t>
        </is>
      </c>
      <c r="L245" s="9" t="n"/>
      <c r="M245" s="9" t="inlineStr">
        <is>
          <t>Europe</t>
        </is>
      </c>
      <c r="N245" s="9" t="inlineStr">
        <is>
          <t>Hommes</t>
        </is>
      </c>
      <c r="O245" s="9" t="inlineStr">
        <is>
          <t>Officiel</t>
        </is>
      </c>
      <c r="P245" s="9" t="inlineStr">
        <is>
          <t>Oui</t>
        </is>
      </c>
      <c r="Q245" s="9" t="inlineStr">
        <is>
          <t>https://www.munsterrugby.ie/2026/02/26/epcr-announce-key-dates-for-2026-27/</t>
        </is>
      </c>
      <c r="R245" s="10" t="n">
        <v>46311</v>
      </c>
      <c r="S245" s="9" t="inlineStr">
        <is>
          <t>Match unique chez le mieux classé</t>
        </is>
      </c>
      <c r="T245" s="9">
        <f>IF(H245="","",IF(MAX(H245,I245)&lt;TODAY(),"Terminé",IF(H245&lt;=TODAY(),"En cours","À venir")))</f>
        <v/>
      </c>
    </row>
    <row r="246">
      <c r="A246" s="9" t="inlineStr">
        <is>
          <t>CC-2627-006</t>
        </is>
      </c>
      <c r="B246" s="9" t="inlineStr">
        <is>
          <t>Rugby</t>
        </is>
      </c>
      <c r="C246" s="9" t="inlineStr">
        <is>
          <t>Champions Cup</t>
        </is>
      </c>
      <c r="D246" s="9" t="inlineStr">
        <is>
          <t>2026-2027</t>
        </is>
      </c>
      <c r="E246" s="9" t="inlineStr">
        <is>
          <t>Quarts de finale</t>
        </is>
      </c>
      <c r="F246" s="9" t="n"/>
      <c r="G246" s="9" t="inlineStr">
        <is>
          <t>Champions Cup – Quarts de finale</t>
        </is>
      </c>
      <c r="H246" s="10" t="n">
        <v>46486</v>
      </c>
      <c r="I246" s="10" t="n">
        <v>46488</v>
      </c>
      <c r="J246" s="11" t="n"/>
      <c r="K246" s="9" t="inlineStr">
        <is>
          <t>Europe/Paris</t>
        </is>
      </c>
      <c r="L246" s="9" t="n"/>
      <c r="M246" s="9" t="inlineStr">
        <is>
          <t>Europe</t>
        </is>
      </c>
      <c r="N246" s="9" t="inlineStr">
        <is>
          <t>Hommes</t>
        </is>
      </c>
      <c r="O246" s="9" t="inlineStr">
        <is>
          <t>Officiel</t>
        </is>
      </c>
      <c r="P246" s="9" t="inlineStr">
        <is>
          <t>Oui</t>
        </is>
      </c>
      <c r="Q246" s="9" t="inlineStr">
        <is>
          <t>https://www.munsterrugby.ie/2026/02/26/epcr-announce-key-dates-for-2026-27/</t>
        </is>
      </c>
      <c r="R246" s="10" t="n">
        <v>46311</v>
      </c>
      <c r="S246" s="9" t="n"/>
      <c r="T246" s="9">
        <f>IF(H246="","",IF(MAX(H246,I246)&lt;TODAY(),"Terminé",IF(H246&lt;=TODAY(),"En cours","À venir")))</f>
        <v/>
      </c>
    </row>
    <row r="247">
      <c r="A247" s="9" t="inlineStr">
        <is>
          <t>CC-2627-007</t>
        </is>
      </c>
      <c r="B247" s="9" t="inlineStr">
        <is>
          <t>Rugby</t>
        </is>
      </c>
      <c r="C247" s="9" t="inlineStr">
        <is>
          <t>Champions Cup</t>
        </is>
      </c>
      <c r="D247" s="9" t="inlineStr">
        <is>
          <t>2026-2027</t>
        </is>
      </c>
      <c r="E247" s="9" t="inlineStr">
        <is>
          <t>Demi-finales</t>
        </is>
      </c>
      <c r="F247" s="9" t="n"/>
      <c r="G247" s="9" t="inlineStr">
        <is>
          <t>Champions Cup – Demi-finales</t>
        </is>
      </c>
      <c r="H247" s="10" t="n">
        <v>46507</v>
      </c>
      <c r="I247" s="10" t="n">
        <v>46509</v>
      </c>
      <c r="J247" s="11" t="n"/>
      <c r="K247" s="9" t="inlineStr">
        <is>
          <t>Europe/Paris</t>
        </is>
      </c>
      <c r="L247" s="9" t="n"/>
      <c r="M247" s="9" t="inlineStr">
        <is>
          <t>Europe</t>
        </is>
      </c>
      <c r="N247" s="9" t="inlineStr">
        <is>
          <t>Hommes</t>
        </is>
      </c>
      <c r="O247" s="9" t="inlineStr">
        <is>
          <t>Officiel</t>
        </is>
      </c>
      <c r="P247" s="9" t="inlineStr">
        <is>
          <t>Oui</t>
        </is>
      </c>
      <c r="Q247" s="9" t="inlineStr">
        <is>
          <t>https://www.munsterrugby.ie/2026/02/26/epcr-announce-key-dates-for-2026-27/</t>
        </is>
      </c>
      <c r="R247" s="10" t="n">
        <v>46311</v>
      </c>
      <c r="S247" s="9" t="n"/>
      <c r="T247" s="9">
        <f>IF(H247="","",IF(MAX(H247,I247)&lt;TODAY(),"Terminé",IF(H247&lt;=TODAY(),"En cours","À venir")))</f>
        <v/>
      </c>
    </row>
    <row r="248">
      <c r="A248" s="9" t="inlineStr">
        <is>
          <t>CC-2627-008</t>
        </is>
      </c>
      <c r="B248" s="9" t="inlineStr">
        <is>
          <t>Rugby</t>
        </is>
      </c>
      <c r="C248" s="9" t="inlineStr">
        <is>
          <t>Champions Cup</t>
        </is>
      </c>
      <c r="D248" s="9" t="inlineStr">
        <is>
          <t>2026-2027</t>
        </is>
      </c>
      <c r="E248" s="9" t="inlineStr">
        <is>
          <t>Finale</t>
        </is>
      </c>
      <c r="F248" s="9" t="n"/>
      <c r="G248" s="9" t="inlineStr">
        <is>
          <t>Champions Cup – Finale</t>
        </is>
      </c>
      <c r="H248" s="10" t="n">
        <v>46529</v>
      </c>
      <c r="I248" s="10" t="n">
        <v>46529</v>
      </c>
      <c r="J248" s="11" t="n"/>
      <c r="K248" s="9" t="inlineStr">
        <is>
          <t>Europe/Paris</t>
        </is>
      </c>
      <c r="L248" s="9" t="inlineStr">
        <is>
          <t>OL Stadium (Groupama Stadium), Décines-Charpieu (Lyon)</t>
        </is>
      </c>
      <c r="M248" s="9" t="inlineStr">
        <is>
          <t>France</t>
        </is>
      </c>
      <c r="N248" s="9" t="inlineStr">
        <is>
          <t>Hommes</t>
        </is>
      </c>
      <c r="O248" s="9" t="inlineStr">
        <is>
          <t>Officiel</t>
        </is>
      </c>
      <c r="P248" s="9" t="inlineStr">
        <is>
          <t>Oui</t>
        </is>
      </c>
      <c r="Q248" s="9" t="inlineStr">
        <is>
          <t>https://www.epcrugby.com/champions-cup/content/epcr-confirms-lyon-2027-finals-and-202627-season-dates-with-investec-champions-cup-and-epcr-challenge-cup-returning-to-october-start</t>
        </is>
      </c>
      <c r="R248" s="10" t="n">
        <v>46311</v>
      </c>
      <c r="S248" s="9" t="inlineStr">
        <is>
          <t>Heure du coup d'envoi non encore annoncée ; finale Challenge Cup le 21/05</t>
        </is>
      </c>
      <c r="T248" s="9">
        <f>IF(H248="","",IF(MAX(H248,I248)&lt;TODAY(),"Terminé",IF(H248&lt;=TODAY(),"En cours","À venir")))</f>
        <v/>
      </c>
    </row>
    <row r="249">
      <c r="A249" s="9" t="inlineStr">
        <is>
          <t>SL-2627-001</t>
        </is>
      </c>
      <c r="B249" s="9" t="inlineStr">
        <is>
          <t>Handball</t>
        </is>
      </c>
      <c r="C249" s="9" t="inlineStr">
        <is>
          <t>StarLigue</t>
        </is>
      </c>
      <c r="D249" s="9" t="inlineStr">
        <is>
          <t>2026-2027</t>
        </is>
      </c>
      <c r="E249" s="9" t="inlineStr">
        <is>
          <t>Saison régulière</t>
        </is>
      </c>
      <c r="F249" s="9" t="n">
        <v>1</v>
      </c>
      <c r="G249" s="9" t="inlineStr">
        <is>
          <t>StarLigue – Journée 1</t>
        </is>
      </c>
      <c r="H249" s="10" t="n">
        <v>46269</v>
      </c>
      <c r="I249" s="10" t="n">
        <v>46271</v>
      </c>
      <c r="J249" s="11" t="n"/>
      <c r="K249" s="9" t="inlineStr">
        <is>
          <t>Europe/Paris</t>
        </is>
      </c>
      <c r="L249" s="9" t="n"/>
      <c r="M249" s="9" t="inlineStr">
        <is>
          <t>France</t>
        </is>
      </c>
      <c r="N249" s="9" t="inlineStr">
        <is>
          <t>Hommes</t>
        </is>
      </c>
      <c r="O249" s="9" t="inlineStr">
        <is>
          <t>Officiel</t>
        </is>
      </c>
      <c r="P249" s="9" t="inlineStr">
        <is>
          <t>Oui</t>
        </is>
      </c>
      <c r="Q249" s="9" t="inlineStr">
        <is>
          <t>https://www.lnh.fr/lnh/news/2026-07-08/daikin-starligue-calendrier-2026-2027-devoile-avec-playoffs-en-ligne-de-mire</t>
        </is>
      </c>
      <c r="R249" s="10" t="n">
        <v>46311</v>
      </c>
      <c r="S249" s="9" t="inlineStr">
        <is>
          <t>Nom 2026-2027 : Daikin StarLigue ; 16 clubs</t>
        </is>
      </c>
      <c r="T249" s="9">
        <f>IF(H249="","",IF(MAX(H249,I249)&lt;TODAY(),"Terminé",IF(H249&lt;=TODAY(),"En cours","À venir")))</f>
        <v/>
      </c>
    </row>
    <row r="250">
      <c r="A250" s="9" t="inlineStr">
        <is>
          <t>SL-2627-002</t>
        </is>
      </c>
      <c r="B250" s="9" t="inlineStr">
        <is>
          <t>Handball</t>
        </is>
      </c>
      <c r="C250" s="9" t="inlineStr">
        <is>
          <t>StarLigue</t>
        </is>
      </c>
      <c r="D250" s="9" t="inlineStr">
        <is>
          <t>2026-2027</t>
        </is>
      </c>
      <c r="E250" s="9" t="inlineStr">
        <is>
          <t>Saison régulière</t>
        </is>
      </c>
      <c r="F250" s="9" t="n">
        <v>2</v>
      </c>
      <c r="G250" s="9" t="inlineStr">
        <is>
          <t>StarLigue – Journée 2</t>
        </is>
      </c>
      <c r="H250" s="10" t="n">
        <v>46276</v>
      </c>
      <c r="I250" s="10" t="n">
        <v>46278</v>
      </c>
      <c r="J250" s="11" t="n"/>
      <c r="K250" s="9" t="inlineStr">
        <is>
          <t>Europe/Paris</t>
        </is>
      </c>
      <c r="L250" s="9" t="n"/>
      <c r="M250" s="9" t="inlineStr">
        <is>
          <t>France</t>
        </is>
      </c>
      <c r="N250" s="9" t="inlineStr">
        <is>
          <t>Hommes</t>
        </is>
      </c>
      <c r="O250" s="9" t="inlineStr">
        <is>
          <t>Officiel</t>
        </is>
      </c>
      <c r="P250" s="9" t="inlineStr">
        <is>
          <t>Oui</t>
        </is>
      </c>
      <c r="Q250" s="9" t="inlineStr">
        <is>
          <t>https://docs.lnh.fr/dp/</t>
        </is>
      </c>
      <c r="R250" s="10" t="n">
        <v>46311</v>
      </c>
      <c r="S250" s="9" t="n"/>
      <c r="T250" s="9">
        <f>IF(H250="","",IF(MAX(H250,I250)&lt;TODAY(),"Terminé",IF(H250&lt;=TODAY(),"En cours","À venir")))</f>
        <v/>
      </c>
    </row>
    <row r="251">
      <c r="A251" s="9" t="inlineStr">
        <is>
          <t>SL-2627-003</t>
        </is>
      </c>
      <c r="B251" s="9" t="inlineStr">
        <is>
          <t>Handball</t>
        </is>
      </c>
      <c r="C251" s="9" t="inlineStr">
        <is>
          <t>StarLigue</t>
        </is>
      </c>
      <c r="D251" s="9" t="inlineStr">
        <is>
          <t>2026-2027</t>
        </is>
      </c>
      <c r="E251" s="9" t="inlineStr">
        <is>
          <t>Saison régulière</t>
        </is>
      </c>
      <c r="F251" s="9" t="n">
        <v>3</v>
      </c>
      <c r="G251" s="9" t="inlineStr">
        <is>
          <t>StarLigue – Journée 3</t>
        </is>
      </c>
      <c r="H251" s="10" t="n">
        <v>46283</v>
      </c>
      <c r="I251" s="10" t="n">
        <v>46285</v>
      </c>
      <c r="J251" s="11" t="n"/>
      <c r="K251" s="9" t="inlineStr">
        <is>
          <t>Europe/Paris</t>
        </is>
      </c>
      <c r="L251" s="9" t="n"/>
      <c r="M251" s="9" t="inlineStr">
        <is>
          <t>France</t>
        </is>
      </c>
      <c r="N251" s="9" t="inlineStr">
        <is>
          <t>Hommes</t>
        </is>
      </c>
      <c r="O251" s="9" t="inlineStr">
        <is>
          <t>Officiel</t>
        </is>
      </c>
      <c r="P251" s="9" t="inlineStr">
        <is>
          <t>Oui</t>
        </is>
      </c>
      <c r="Q251" s="9" t="inlineStr">
        <is>
          <t>https://www.montpellierhandball.com/fr/actualites/2026-07-09/decouvrez-le-calendrier-26-27-de-la-daikin-starligue</t>
        </is>
      </c>
      <c r="R251" s="10" t="n">
        <v>46311</v>
      </c>
      <c r="S251" s="9" t="n"/>
      <c r="T251" s="9">
        <f>IF(H251="","",IF(MAX(H251,I251)&lt;TODAY(),"Terminé",IF(H251&lt;=TODAY(),"En cours","À venir")))</f>
        <v/>
      </c>
    </row>
    <row r="252">
      <c r="A252" s="9" t="inlineStr">
        <is>
          <t>SL-2627-004</t>
        </is>
      </c>
      <c r="B252" s="9" t="inlineStr">
        <is>
          <t>Handball</t>
        </is>
      </c>
      <c r="C252" s="9" t="inlineStr">
        <is>
          <t>StarLigue</t>
        </is>
      </c>
      <c r="D252" s="9" t="inlineStr">
        <is>
          <t>2026-2027</t>
        </is>
      </c>
      <c r="E252" s="9" t="inlineStr">
        <is>
          <t>Saison régulière</t>
        </is>
      </c>
      <c r="F252" s="9" t="n">
        <v>4</v>
      </c>
      <c r="G252" s="9" t="inlineStr">
        <is>
          <t>StarLigue – Journée 4</t>
        </is>
      </c>
      <c r="H252" s="10" t="n">
        <v>46290</v>
      </c>
      <c r="I252" s="10" t="n">
        <v>46292</v>
      </c>
      <c r="J252" s="11" t="n"/>
      <c r="K252" s="9" t="inlineStr">
        <is>
          <t>Europe/Paris</t>
        </is>
      </c>
      <c r="L252" s="9" t="n"/>
      <c r="M252" s="9" t="inlineStr">
        <is>
          <t>France</t>
        </is>
      </c>
      <c r="N252" s="9" t="inlineStr">
        <is>
          <t>Hommes</t>
        </is>
      </c>
      <c r="O252" s="9" t="inlineStr">
        <is>
          <t>Officiel</t>
        </is>
      </c>
      <c r="P252" s="9" t="inlineStr">
        <is>
          <t>Oui</t>
        </is>
      </c>
      <c r="Q252" s="9" t="inlineStr">
        <is>
          <t>https://docs.lnh.fr/dp/</t>
        </is>
      </c>
      <c r="R252" s="10" t="n">
        <v>46311</v>
      </c>
      <c r="S252" s="9" t="n"/>
      <c r="T252" s="9">
        <f>IF(H252="","",IF(MAX(H252,I252)&lt;TODAY(),"Terminé",IF(H252&lt;=TODAY(),"En cours","À venir")))</f>
        <v/>
      </c>
    </row>
    <row r="253">
      <c r="A253" s="9" t="inlineStr">
        <is>
          <t>SL-2627-005</t>
        </is>
      </c>
      <c r="B253" s="9" t="inlineStr">
        <is>
          <t>Handball</t>
        </is>
      </c>
      <c r="C253" s="9" t="inlineStr">
        <is>
          <t>StarLigue</t>
        </is>
      </c>
      <c r="D253" s="9" t="inlineStr">
        <is>
          <t>2026-2027</t>
        </is>
      </c>
      <c r="E253" s="9" t="inlineStr">
        <is>
          <t>Saison régulière</t>
        </is>
      </c>
      <c r="F253" s="9" t="n">
        <v>5</v>
      </c>
      <c r="G253" s="9" t="inlineStr">
        <is>
          <t>StarLigue – Journée 5</t>
        </is>
      </c>
      <c r="H253" s="10" t="n">
        <v>46297</v>
      </c>
      <c r="I253" s="10" t="n">
        <v>46299</v>
      </c>
      <c r="J253" s="11" t="n"/>
      <c r="K253" s="9" t="inlineStr">
        <is>
          <t>Europe/Paris</t>
        </is>
      </c>
      <c r="L253" s="9" t="n"/>
      <c r="M253" s="9" t="inlineStr">
        <is>
          <t>France</t>
        </is>
      </c>
      <c r="N253" s="9" t="inlineStr">
        <is>
          <t>Hommes</t>
        </is>
      </c>
      <c r="O253" s="9" t="inlineStr">
        <is>
          <t>Officiel</t>
        </is>
      </c>
      <c r="P253" s="9" t="inlineStr">
        <is>
          <t>Oui</t>
        </is>
      </c>
      <c r="Q253" s="9" t="inlineStr">
        <is>
          <t>https://docs.lnh.fr/dp/</t>
        </is>
      </c>
      <c r="R253" s="10" t="n">
        <v>46311</v>
      </c>
      <c r="S253" s="9" t="n"/>
      <c r="T253" s="9">
        <f>IF(H253="","",IF(MAX(H253,I253)&lt;TODAY(),"Terminé",IF(H253&lt;=TODAY(),"En cours","À venir")))</f>
        <v/>
      </c>
    </row>
    <row r="254">
      <c r="A254" s="9" t="inlineStr">
        <is>
          <t>SL-2627-006</t>
        </is>
      </c>
      <c r="B254" s="9" t="inlineStr">
        <is>
          <t>Handball</t>
        </is>
      </c>
      <c r="C254" s="9" t="inlineStr">
        <is>
          <t>StarLigue</t>
        </is>
      </c>
      <c r="D254" s="9" t="inlineStr">
        <is>
          <t>2026-2027</t>
        </is>
      </c>
      <c r="E254" s="9" t="inlineStr">
        <is>
          <t>Saison régulière</t>
        </is>
      </c>
      <c r="F254" s="9" t="n">
        <v>6</v>
      </c>
      <c r="G254" s="9" t="inlineStr">
        <is>
          <t>StarLigue – Journée 6</t>
        </is>
      </c>
      <c r="H254" s="10" t="n">
        <v>46304</v>
      </c>
      <c r="I254" s="10" t="n">
        <v>46306</v>
      </c>
      <c r="J254" s="11" t="n"/>
      <c r="K254" s="9" t="inlineStr">
        <is>
          <t>Europe/Paris</t>
        </is>
      </c>
      <c r="L254" s="9" t="n"/>
      <c r="M254" s="9" t="inlineStr">
        <is>
          <t>France</t>
        </is>
      </c>
      <c r="N254" s="9" t="inlineStr">
        <is>
          <t>Hommes</t>
        </is>
      </c>
      <c r="O254" s="9" t="inlineStr">
        <is>
          <t>Officiel</t>
        </is>
      </c>
      <c r="P254" s="9" t="inlineStr">
        <is>
          <t>Oui</t>
        </is>
      </c>
      <c r="Q254" s="9" t="inlineStr">
        <is>
          <t>https://docs.lnh.fr/dp/</t>
        </is>
      </c>
      <c r="R254" s="10" t="n">
        <v>46311</v>
      </c>
      <c r="S254" s="9" t="n"/>
      <c r="T254" s="9">
        <f>IF(H254="","",IF(MAX(H254,I254)&lt;TODAY(),"Terminé",IF(H254&lt;=TODAY(),"En cours","À venir")))</f>
        <v/>
      </c>
    </row>
    <row r="255">
      <c r="A255" s="9" t="inlineStr">
        <is>
          <t>SL-2627-007</t>
        </is>
      </c>
      <c r="B255" s="9" t="inlineStr">
        <is>
          <t>Handball</t>
        </is>
      </c>
      <c r="C255" s="9" t="inlineStr">
        <is>
          <t>StarLigue</t>
        </is>
      </c>
      <c r="D255" s="9" t="inlineStr">
        <is>
          <t>2026-2027</t>
        </is>
      </c>
      <c r="E255" s="9" t="inlineStr">
        <is>
          <t>Saison régulière</t>
        </is>
      </c>
      <c r="F255" s="9" t="n">
        <v>7</v>
      </c>
      <c r="G255" s="9" t="inlineStr">
        <is>
          <t>StarLigue – Journée 7</t>
        </is>
      </c>
      <c r="H255" s="10" t="n">
        <v>46311</v>
      </c>
      <c r="I255" s="10" t="n">
        <v>46313</v>
      </c>
      <c r="J255" s="11" t="n"/>
      <c r="K255" s="9" t="inlineStr">
        <is>
          <t>Europe/Paris</t>
        </is>
      </c>
      <c r="L255" s="9" t="n"/>
      <c r="M255" s="9" t="inlineStr">
        <is>
          <t>France</t>
        </is>
      </c>
      <c r="N255" s="9" t="inlineStr">
        <is>
          <t>Hommes</t>
        </is>
      </c>
      <c r="O255" s="9" t="inlineStr">
        <is>
          <t>Officiel</t>
        </is>
      </c>
      <c r="P255" s="9" t="inlineStr">
        <is>
          <t>Oui</t>
        </is>
      </c>
      <c r="Q255" s="9" t="inlineStr">
        <is>
          <t>https://www.lnh.fr/daikin-starligue/calendriers/20262027/dsl/j07/toulouse/saint-raphael</t>
        </is>
      </c>
      <c r="R255" s="10" t="n">
        <v>46311</v>
      </c>
      <c r="S255" s="9" t="n"/>
      <c r="T255" s="9">
        <f>IF(H255="","",IF(MAX(H255,I255)&lt;TODAY(),"Terminé",IF(H255&lt;=TODAY(),"En cours","À venir")))</f>
        <v/>
      </c>
    </row>
    <row r="256">
      <c r="A256" s="9" t="inlineStr">
        <is>
          <t>SL-2627-008</t>
        </is>
      </c>
      <c r="B256" s="9" t="inlineStr">
        <is>
          <t>Handball</t>
        </is>
      </c>
      <c r="C256" s="9" t="inlineStr">
        <is>
          <t>StarLigue</t>
        </is>
      </c>
      <c r="D256" s="9" t="inlineStr">
        <is>
          <t>2026-2027</t>
        </is>
      </c>
      <c r="E256" s="9" t="inlineStr">
        <is>
          <t>Saison régulière</t>
        </is>
      </c>
      <c r="F256" s="9" t="n">
        <v>8</v>
      </c>
      <c r="G256" s="9" t="inlineStr">
        <is>
          <t>StarLigue – Journée 8</t>
        </is>
      </c>
      <c r="H256" s="10" t="n">
        <v>46318</v>
      </c>
      <c r="I256" s="10" t="n">
        <v>46319</v>
      </c>
      <c r="J256" s="11" t="n"/>
      <c r="K256" s="9" t="inlineStr">
        <is>
          <t>Europe/Paris</t>
        </is>
      </c>
      <c r="L256" s="9" t="n"/>
      <c r="M256" s="9" t="inlineStr">
        <is>
          <t>France</t>
        </is>
      </c>
      <c r="N256" s="9" t="inlineStr">
        <is>
          <t>Hommes</t>
        </is>
      </c>
      <c r="O256" s="9" t="inlineStr">
        <is>
          <t>Provisoire</t>
        </is>
      </c>
      <c r="P256" s="9" t="inlineStr">
        <is>
          <t>Oui</t>
        </is>
      </c>
      <c r="Q256" s="9" t="inlineStr">
        <is>
          <t>https://www.lnh.fr/daikin-starligue/accueil</t>
        </is>
      </c>
      <c r="R256" s="10" t="n">
        <v>46311</v>
      </c>
      <c r="S256" s="9" t="inlineStr">
        <is>
          <t>Matchs vérifiés ven. 23 et sam. 24 oct. ; dimanche éventuel à confirmer</t>
        </is>
      </c>
      <c r="T256" s="9">
        <f>IF(H256="","",IF(MAX(H256,I256)&lt;TODAY(),"Terminé",IF(H256&lt;=TODAY(),"En cours","À venir")))</f>
        <v/>
      </c>
    </row>
    <row r="257">
      <c r="A257" s="9" t="inlineStr">
        <is>
          <t>SL-2627-009</t>
        </is>
      </c>
      <c r="B257" s="9" t="inlineStr">
        <is>
          <t>Handball</t>
        </is>
      </c>
      <c r="C257" s="9" t="inlineStr">
        <is>
          <t>StarLigue</t>
        </is>
      </c>
      <c r="D257" s="9" t="inlineStr">
        <is>
          <t>2026-2027</t>
        </is>
      </c>
      <c r="E257" s="9" t="inlineStr">
        <is>
          <t>Saison régulière</t>
        </is>
      </c>
      <c r="F257" s="9" t="n">
        <v>9</v>
      </c>
      <c r="G257" s="9" t="inlineStr">
        <is>
          <t>StarLigue – Journée 9</t>
        </is>
      </c>
      <c r="H257" s="10" t="n">
        <v>46325</v>
      </c>
      <c r="I257" s="10" t="n">
        <v>46327</v>
      </c>
      <c r="J257" s="11" t="n"/>
      <c r="K257" s="9" t="inlineStr">
        <is>
          <t>Europe/Paris</t>
        </is>
      </c>
      <c r="L257" s="9" t="n"/>
      <c r="M257" s="9" t="inlineStr">
        <is>
          <t>France</t>
        </is>
      </c>
      <c r="N257" s="9" t="inlineStr">
        <is>
          <t>Hommes</t>
        </is>
      </c>
      <c r="O257" s="9" t="inlineStr">
        <is>
          <t>Provisoire</t>
        </is>
      </c>
      <c r="P257" s="9" t="inlineStr">
        <is>
          <t>Oui</t>
        </is>
      </c>
      <c r="Q257" s="9" t="inlineStr">
        <is>
          <t>https://www.teamchambe.com/equipe-premiere/calendrier-resultats/</t>
        </is>
      </c>
      <c r="R257" s="10" t="n">
        <v>46311</v>
      </c>
      <c r="S257" s="9" t="inlineStr">
        <is>
          <t>Chambéry ven. 30/10, Paris – Montpellier le 1er nov.</t>
        </is>
      </c>
      <c r="T257" s="9">
        <f>IF(H257="","",IF(MAX(H257,I257)&lt;TODAY(),"Terminé",IF(H257&lt;=TODAY(),"En cours","À venir")))</f>
        <v/>
      </c>
    </row>
    <row r="258">
      <c r="A258" s="9" t="inlineStr">
        <is>
          <t>SL-2627-010</t>
        </is>
      </c>
      <c r="B258" s="9" t="inlineStr">
        <is>
          <t>Handball</t>
        </is>
      </c>
      <c r="C258" s="9" t="inlineStr">
        <is>
          <t>StarLigue</t>
        </is>
      </c>
      <c r="D258" s="9" t="inlineStr">
        <is>
          <t>2026-2027</t>
        </is>
      </c>
      <c r="E258" s="9" t="inlineStr">
        <is>
          <t>Saison régulière</t>
        </is>
      </c>
      <c r="F258" s="9" t="n">
        <v>10</v>
      </c>
      <c r="G258" s="9" t="inlineStr">
        <is>
          <t>StarLigue – Journée 10</t>
        </is>
      </c>
      <c r="H258" s="10" t="n">
        <v>46339</v>
      </c>
      <c r="I258" s="10" t="n">
        <v>46339</v>
      </c>
      <c r="J258" s="11" t="n"/>
      <c r="K258" s="9" t="inlineStr">
        <is>
          <t>Europe/Paris</t>
        </is>
      </c>
      <c r="L258" s="9" t="n"/>
      <c r="M258" s="9" t="inlineStr">
        <is>
          <t>France</t>
        </is>
      </c>
      <c r="N258" s="9" t="inlineStr">
        <is>
          <t>Hommes</t>
        </is>
      </c>
      <c r="O258" s="9" t="inlineStr">
        <is>
          <t>Provisoire</t>
        </is>
      </c>
      <c r="P258" s="9" t="inlineStr">
        <is>
          <t>Oui</t>
        </is>
      </c>
      <c r="Q258" s="9" t="inlineStr">
        <is>
          <t>https://www.teamchambe.com/equipe-premiere/calendrier-resultats/</t>
        </is>
      </c>
      <c r="R258" s="10" t="n">
        <v>46311</v>
      </c>
      <c r="S258" s="9" t="inlineStr">
        <is>
          <t>Date du match de Chambéry (calendrier club) ; plage complète de la journée à confirmer sur lnh.fr</t>
        </is>
      </c>
      <c r="T258" s="9">
        <f>IF(H258="","",IF(MAX(H258,I258)&lt;TODAY(),"Terminé",IF(H258&lt;=TODAY(),"En cours","À venir")))</f>
        <v/>
      </c>
    </row>
    <row r="259">
      <c r="A259" s="9" t="inlineStr">
        <is>
          <t>SL-2627-011</t>
        </is>
      </c>
      <c r="B259" s="9" t="inlineStr">
        <is>
          <t>Handball</t>
        </is>
      </c>
      <c r="C259" s="9" t="inlineStr">
        <is>
          <t>StarLigue</t>
        </is>
      </c>
      <c r="D259" s="9" t="inlineStr">
        <is>
          <t>2026-2027</t>
        </is>
      </c>
      <c r="E259" s="9" t="inlineStr">
        <is>
          <t>Saison régulière</t>
        </is>
      </c>
      <c r="F259" s="9" t="n">
        <v>11</v>
      </c>
      <c r="G259" s="9" t="inlineStr">
        <is>
          <t>StarLigue – Journée 11</t>
        </is>
      </c>
      <c r="H259" s="10" t="n">
        <v>46346</v>
      </c>
      <c r="I259" s="10" t="n">
        <v>46346</v>
      </c>
      <c r="J259" s="11" t="n"/>
      <c r="K259" s="9" t="inlineStr">
        <is>
          <t>Europe/Paris</t>
        </is>
      </c>
      <c r="L259" s="9" t="n"/>
      <c r="M259" s="9" t="inlineStr">
        <is>
          <t>France</t>
        </is>
      </c>
      <c r="N259" s="9" t="inlineStr">
        <is>
          <t>Hommes</t>
        </is>
      </c>
      <c r="O259" s="9" t="inlineStr">
        <is>
          <t>Provisoire</t>
        </is>
      </c>
      <c r="P259" s="9" t="inlineStr">
        <is>
          <t>Oui</t>
        </is>
      </c>
      <c r="Q259" s="9" t="inlineStr">
        <is>
          <t>https://www.teamchambe.com/equipe-premiere/calendrier-resultats/</t>
        </is>
      </c>
      <c r="R259" s="10" t="n">
        <v>46311</v>
      </c>
      <c r="S259" s="9" t="inlineStr">
        <is>
          <t>Date du match de Chambéry (calendrier club) ; plage complète de la journée à confirmer sur lnh.fr</t>
        </is>
      </c>
      <c r="T259" s="9">
        <f>IF(H259="","",IF(MAX(H259,I259)&lt;TODAY(),"Terminé",IF(H259&lt;=TODAY(),"En cours","À venir")))</f>
        <v/>
      </c>
    </row>
    <row r="260">
      <c r="A260" s="9" t="inlineStr">
        <is>
          <t>SL-2627-012</t>
        </is>
      </c>
      <c r="B260" s="9" t="inlineStr">
        <is>
          <t>Handball</t>
        </is>
      </c>
      <c r="C260" s="9" t="inlineStr">
        <is>
          <t>StarLigue</t>
        </is>
      </c>
      <c r="D260" s="9" t="inlineStr">
        <is>
          <t>2026-2027</t>
        </is>
      </c>
      <c r="E260" s="9" t="inlineStr">
        <is>
          <t>Saison régulière</t>
        </is>
      </c>
      <c r="F260" s="9" t="n">
        <v>12</v>
      </c>
      <c r="G260" s="9" t="inlineStr">
        <is>
          <t>StarLigue – Journée 12</t>
        </is>
      </c>
      <c r="H260" s="10" t="n">
        <v>46353</v>
      </c>
      <c r="I260" s="10" t="n">
        <v>46353</v>
      </c>
      <c r="J260" s="11" t="n"/>
      <c r="K260" s="9" t="inlineStr">
        <is>
          <t>Europe/Paris</t>
        </is>
      </c>
      <c r="L260" s="9" t="n"/>
      <c r="M260" s="9" t="inlineStr">
        <is>
          <t>France</t>
        </is>
      </c>
      <c r="N260" s="9" t="inlineStr">
        <is>
          <t>Hommes</t>
        </is>
      </c>
      <c r="O260" s="9" t="inlineStr">
        <is>
          <t>Provisoire</t>
        </is>
      </c>
      <c r="P260" s="9" t="inlineStr">
        <is>
          <t>Oui</t>
        </is>
      </c>
      <c r="Q260" s="9" t="inlineStr">
        <is>
          <t>https://www.teamchambe.com/equipe-premiere/calendrier-resultats/</t>
        </is>
      </c>
      <c r="R260" s="10" t="n">
        <v>46311</v>
      </c>
      <c r="S260" s="9" t="inlineStr">
        <is>
          <t>Date du match de Chambéry (calendrier club) ; plage complète de la journée à confirmer sur lnh.fr</t>
        </is>
      </c>
      <c r="T260" s="9">
        <f>IF(H260="","",IF(MAX(H260,I260)&lt;TODAY(),"Terminé",IF(H260&lt;=TODAY(),"En cours","À venir")))</f>
        <v/>
      </c>
    </row>
    <row r="261">
      <c r="A261" s="9" t="inlineStr">
        <is>
          <t>SL-2627-013</t>
        </is>
      </c>
      <c r="B261" s="9" t="inlineStr">
        <is>
          <t>Handball</t>
        </is>
      </c>
      <c r="C261" s="9" t="inlineStr">
        <is>
          <t>StarLigue</t>
        </is>
      </c>
      <c r="D261" s="9" t="inlineStr">
        <is>
          <t>2026-2027</t>
        </is>
      </c>
      <c r="E261" s="9" t="inlineStr">
        <is>
          <t>Saison régulière</t>
        </is>
      </c>
      <c r="F261" s="9" t="n">
        <v>13</v>
      </c>
      <c r="G261" s="9" t="inlineStr">
        <is>
          <t>StarLigue – Journée 13</t>
        </is>
      </c>
      <c r="H261" s="10" t="n">
        <v>46360</v>
      </c>
      <c r="I261" s="10" t="n">
        <v>46360</v>
      </c>
      <c r="J261" s="11" t="n"/>
      <c r="K261" s="9" t="inlineStr">
        <is>
          <t>Europe/Paris</t>
        </is>
      </c>
      <c r="L261" s="9" t="n"/>
      <c r="M261" s="9" t="inlineStr">
        <is>
          <t>France</t>
        </is>
      </c>
      <c r="N261" s="9" t="inlineStr">
        <is>
          <t>Hommes</t>
        </is>
      </c>
      <c r="O261" s="9" t="inlineStr">
        <is>
          <t>Provisoire</t>
        </is>
      </c>
      <c r="P261" s="9" t="inlineStr">
        <is>
          <t>Oui</t>
        </is>
      </c>
      <c r="Q261" s="9" t="inlineStr">
        <is>
          <t>https://www.teamchambe.com/equipe-premiere/calendrier-resultats/</t>
        </is>
      </c>
      <c r="R261" s="10" t="n">
        <v>46311</v>
      </c>
      <c r="S261" s="9" t="inlineStr">
        <is>
          <t>Date du match de Chambéry (calendrier club) ; plage complète de la journée à confirmer sur lnh.fr</t>
        </is>
      </c>
      <c r="T261" s="9">
        <f>IF(H261="","",IF(MAX(H261,I261)&lt;TODAY(),"Terminé",IF(H261&lt;=TODAY(),"En cours","À venir")))</f>
        <v/>
      </c>
    </row>
    <row r="262">
      <c r="A262" s="9" t="inlineStr">
        <is>
          <t>SL-2627-014</t>
        </is>
      </c>
      <c r="B262" s="9" t="inlineStr">
        <is>
          <t>Handball</t>
        </is>
      </c>
      <c r="C262" s="9" t="inlineStr">
        <is>
          <t>StarLigue</t>
        </is>
      </c>
      <c r="D262" s="9" t="inlineStr">
        <is>
          <t>2026-2027</t>
        </is>
      </c>
      <c r="E262" s="9" t="inlineStr">
        <is>
          <t>Saison régulière</t>
        </is>
      </c>
      <c r="F262" s="9" t="n">
        <v>14</v>
      </c>
      <c r="G262" s="9" t="inlineStr">
        <is>
          <t>StarLigue – Journée 14</t>
        </is>
      </c>
      <c r="H262" s="10" t="n">
        <v>46367</v>
      </c>
      <c r="I262" s="10" t="n">
        <v>46369</v>
      </c>
      <c r="J262" s="11" t="n"/>
      <c r="K262" s="9" t="inlineStr">
        <is>
          <t>Europe/Paris</t>
        </is>
      </c>
      <c r="L262" s="9" t="n"/>
      <c r="M262" s="9" t="inlineStr">
        <is>
          <t>France</t>
        </is>
      </c>
      <c r="N262" s="9" t="inlineStr">
        <is>
          <t>Hommes</t>
        </is>
      </c>
      <c r="O262" s="9" t="inlineStr">
        <is>
          <t>Provisoire</t>
        </is>
      </c>
      <c r="P262" s="9" t="inlineStr">
        <is>
          <t>Oui</t>
        </is>
      </c>
      <c r="Q262" s="9" t="inlineStr">
        <is>
          <t>https://www.psg.fr/content/le-calendrier-de-la-saison-2026-2027-de-la-daikin-starligue-devoile-psg-handball-saison-calendrier-2026-2027</t>
        </is>
      </c>
      <c r="R262" s="10" t="n">
        <v>46311</v>
      </c>
      <c r="S262" s="9" t="inlineStr">
        <is>
          <t>Plage 11-12-13 décembre (PSG/Montpellier)</t>
        </is>
      </c>
      <c r="T262" s="9">
        <f>IF(H262="","",IF(MAX(H262,I262)&lt;TODAY(),"Terminé",IF(H262&lt;=TODAY(),"En cours","À venir")))</f>
        <v/>
      </c>
    </row>
    <row r="263">
      <c r="A263" s="9" t="inlineStr">
        <is>
          <t>SL-2627-015</t>
        </is>
      </c>
      <c r="B263" s="9" t="inlineStr">
        <is>
          <t>Handball</t>
        </is>
      </c>
      <c r="C263" s="9" t="inlineStr">
        <is>
          <t>StarLigue</t>
        </is>
      </c>
      <c r="D263" s="9" t="inlineStr">
        <is>
          <t>2026-2027</t>
        </is>
      </c>
      <c r="E263" s="9" t="inlineStr">
        <is>
          <t>Saison régulière</t>
        </is>
      </c>
      <c r="F263" s="9" t="n">
        <v>15</v>
      </c>
      <c r="G263" s="9" t="inlineStr">
        <is>
          <t>StarLigue – Journée 15</t>
        </is>
      </c>
      <c r="H263" s="10" t="n">
        <v>46378</v>
      </c>
      <c r="I263" s="10" t="n">
        <v>46378</v>
      </c>
      <c r="J263" s="11" t="n"/>
      <c r="K263" s="9" t="inlineStr">
        <is>
          <t>Europe/Paris</t>
        </is>
      </c>
      <c r="L263" s="9" t="n"/>
      <c r="M263" s="9" t="inlineStr">
        <is>
          <t>France</t>
        </is>
      </c>
      <c r="N263" s="9" t="inlineStr">
        <is>
          <t>Hommes</t>
        </is>
      </c>
      <c r="O263" s="9" t="inlineStr">
        <is>
          <t>Provisoire</t>
        </is>
      </c>
      <c r="P263" s="9" t="inlineStr">
        <is>
          <t>Oui</t>
        </is>
      </c>
      <c r="Q263" s="9" t="inlineStr">
        <is>
          <t>https://www.teamchambe.com/equipe-premiere/calendrier-resultats/</t>
        </is>
      </c>
      <c r="R263" s="10" t="n">
        <v>46311</v>
      </c>
      <c r="S263" s="9" t="inlineStr">
        <is>
          <t>Date du match de Chambéry (calendrier club) ; plage complète de la journée à confirmer sur lnh.fr</t>
        </is>
      </c>
      <c r="T263" s="9">
        <f>IF(H263="","",IF(MAX(H263,I263)&lt;TODAY(),"Terminé",IF(H263&lt;=TODAY(),"En cours","À venir")))</f>
        <v/>
      </c>
    </row>
    <row r="264">
      <c r="A264" s="9" t="inlineStr">
        <is>
          <t>SL-2627-016</t>
        </is>
      </c>
      <c r="B264" s="9" t="inlineStr">
        <is>
          <t>Handball</t>
        </is>
      </c>
      <c r="C264" s="9" t="inlineStr">
        <is>
          <t>StarLigue</t>
        </is>
      </c>
      <c r="D264" s="9" t="inlineStr">
        <is>
          <t>2026-2027</t>
        </is>
      </c>
      <c r="E264" s="9" t="inlineStr">
        <is>
          <t>Saison régulière</t>
        </is>
      </c>
      <c r="F264" s="9" t="n">
        <v>16</v>
      </c>
      <c r="G264" s="9" t="inlineStr">
        <is>
          <t>StarLigue – Journée 16</t>
        </is>
      </c>
      <c r="H264" s="10" t="n">
        <v>46423</v>
      </c>
      <c r="I264" s="10" t="n">
        <v>46425</v>
      </c>
      <c r="J264" s="11" t="n"/>
      <c r="K264" s="9" t="inlineStr">
        <is>
          <t>Europe/Paris</t>
        </is>
      </c>
      <c r="L264" s="9" t="n"/>
      <c r="M264" s="9" t="inlineStr">
        <is>
          <t>France</t>
        </is>
      </c>
      <c r="N264" s="9" t="inlineStr">
        <is>
          <t>Hommes</t>
        </is>
      </c>
      <c r="O264" s="9" t="inlineStr">
        <is>
          <t>Provisoire</t>
        </is>
      </c>
      <c r="P264" s="9" t="inlineStr">
        <is>
          <t>Oui</t>
        </is>
      </c>
      <c r="Q264" s="9" t="inlineStr">
        <is>
          <t>https://www.montpellierhandball.com/fr/actualites/2026-07-09/decouvrez-le-calendrier-26-27-de-la-daikin-starligue</t>
        </is>
      </c>
      <c r="R264" s="10" t="n">
        <v>46311</v>
      </c>
      <c r="S264" s="9" t="inlineStr">
        <is>
          <t>Reprise après la trêve internationale, plage 5-6-7 février</t>
        </is>
      </c>
      <c r="T264" s="9">
        <f>IF(H264="","",IF(MAX(H264,I264)&lt;TODAY(),"Terminé",IF(H264&lt;=TODAY(),"En cours","À venir")))</f>
        <v/>
      </c>
    </row>
    <row r="265">
      <c r="A265" s="9" t="inlineStr">
        <is>
          <t>SL-2627-017</t>
        </is>
      </c>
      <c r="B265" s="9" t="inlineStr">
        <is>
          <t>Handball</t>
        </is>
      </c>
      <c r="C265" s="9" t="inlineStr">
        <is>
          <t>StarLigue</t>
        </is>
      </c>
      <c r="D265" s="9" t="inlineStr">
        <is>
          <t>2026-2027</t>
        </is>
      </c>
      <c r="E265" s="9" t="inlineStr">
        <is>
          <t>Saison régulière</t>
        </is>
      </c>
      <c r="F265" s="9" t="n">
        <v>17</v>
      </c>
      <c r="G265" s="9" t="inlineStr">
        <is>
          <t>StarLigue – Journée 17</t>
        </is>
      </c>
      <c r="H265" s="10" t="n">
        <v>46430</v>
      </c>
      <c r="I265" s="10" t="n">
        <v>46430</v>
      </c>
      <c r="J265" s="11" t="n"/>
      <c r="K265" s="9" t="inlineStr">
        <is>
          <t>Europe/Paris</t>
        </is>
      </c>
      <c r="L265" s="9" t="n"/>
      <c r="M265" s="9" t="inlineStr">
        <is>
          <t>France</t>
        </is>
      </c>
      <c r="N265" s="9" t="inlineStr">
        <is>
          <t>Hommes</t>
        </is>
      </c>
      <c r="O265" s="9" t="inlineStr">
        <is>
          <t>Provisoire</t>
        </is>
      </c>
      <c r="P265" s="9" t="inlineStr">
        <is>
          <t>Oui</t>
        </is>
      </c>
      <c r="Q265" s="9" t="inlineStr">
        <is>
          <t>https://www.teamchambe.com/equipe-premiere/calendrier-resultats/</t>
        </is>
      </c>
      <c r="R265" s="10" t="n">
        <v>46311</v>
      </c>
      <c r="S265" s="9" t="inlineStr">
        <is>
          <t>Date du match de Chambéry (calendrier club) ; plage complète de la journée à confirmer sur lnh.fr</t>
        </is>
      </c>
      <c r="T265" s="9">
        <f>IF(H265="","",IF(MAX(H265,I265)&lt;TODAY(),"Terminé",IF(H265&lt;=TODAY(),"En cours","À venir")))</f>
        <v/>
      </c>
    </row>
    <row r="266">
      <c r="A266" s="9" t="inlineStr">
        <is>
          <t>SL-2627-018</t>
        </is>
      </c>
      <c r="B266" s="9" t="inlineStr">
        <is>
          <t>Handball</t>
        </is>
      </c>
      <c r="C266" s="9" t="inlineStr">
        <is>
          <t>StarLigue</t>
        </is>
      </c>
      <c r="D266" s="9" t="inlineStr">
        <is>
          <t>2026-2027</t>
        </is>
      </c>
      <c r="E266" s="9" t="inlineStr">
        <is>
          <t>Saison régulière</t>
        </is>
      </c>
      <c r="F266" s="9" t="n">
        <v>18</v>
      </c>
      <c r="G266" s="9" t="inlineStr">
        <is>
          <t>StarLigue – Journée 18</t>
        </is>
      </c>
      <c r="H266" s="10" t="n">
        <v>46437</v>
      </c>
      <c r="I266" s="10" t="n">
        <v>46437</v>
      </c>
      <c r="J266" s="11" t="n"/>
      <c r="K266" s="9" t="inlineStr">
        <is>
          <t>Europe/Paris</t>
        </is>
      </c>
      <c r="L266" s="9" t="n"/>
      <c r="M266" s="9" t="inlineStr">
        <is>
          <t>France</t>
        </is>
      </c>
      <c r="N266" s="9" t="inlineStr">
        <is>
          <t>Hommes</t>
        </is>
      </c>
      <c r="O266" s="9" t="inlineStr">
        <is>
          <t>Provisoire</t>
        </is>
      </c>
      <c r="P266" s="9" t="inlineStr">
        <is>
          <t>Oui</t>
        </is>
      </c>
      <c r="Q266" s="9" t="inlineStr">
        <is>
          <t>https://www.teamchambe.com/equipe-premiere/calendrier-resultats/</t>
        </is>
      </c>
      <c r="R266" s="10" t="n">
        <v>46311</v>
      </c>
      <c r="S266" s="9" t="inlineStr">
        <is>
          <t>Date du match de Chambéry (calendrier club) ; plage complète de la journée à confirmer sur lnh.fr</t>
        </is>
      </c>
      <c r="T266" s="9">
        <f>IF(H266="","",IF(MAX(H266,I266)&lt;TODAY(),"Terminé",IF(H266&lt;=TODAY(),"En cours","À venir")))</f>
        <v/>
      </c>
    </row>
    <row r="267">
      <c r="A267" s="9" t="inlineStr">
        <is>
          <t>SL-2627-019</t>
        </is>
      </c>
      <c r="B267" s="9" t="inlineStr">
        <is>
          <t>Handball</t>
        </is>
      </c>
      <c r="C267" s="9" t="inlineStr">
        <is>
          <t>StarLigue</t>
        </is>
      </c>
      <c r="D267" s="9" t="inlineStr">
        <is>
          <t>2026-2027</t>
        </is>
      </c>
      <c r="E267" s="9" t="inlineStr">
        <is>
          <t>Saison régulière</t>
        </is>
      </c>
      <c r="F267" s="9" t="n">
        <v>19</v>
      </c>
      <c r="G267" s="9" t="inlineStr">
        <is>
          <t>StarLigue – Journée 19</t>
        </is>
      </c>
      <c r="H267" s="10" t="n">
        <v>46444</v>
      </c>
      <c r="I267" s="10" t="n">
        <v>46444</v>
      </c>
      <c r="J267" s="11" t="n"/>
      <c r="K267" s="9" t="inlineStr">
        <is>
          <t>Europe/Paris</t>
        </is>
      </c>
      <c r="L267" s="9" t="n"/>
      <c r="M267" s="9" t="inlineStr">
        <is>
          <t>France</t>
        </is>
      </c>
      <c r="N267" s="9" t="inlineStr">
        <is>
          <t>Hommes</t>
        </is>
      </c>
      <c r="O267" s="9" t="inlineStr">
        <is>
          <t>Provisoire</t>
        </is>
      </c>
      <c r="P267" s="9" t="inlineStr">
        <is>
          <t>Oui</t>
        </is>
      </c>
      <c r="Q267" s="9" t="inlineStr">
        <is>
          <t>https://www.teamchambe.com/equipe-premiere/calendrier-resultats/</t>
        </is>
      </c>
      <c r="R267" s="10" t="n">
        <v>46311</v>
      </c>
      <c r="S267" s="9" t="inlineStr">
        <is>
          <t>Date du match de Chambéry (calendrier club) ; plage complète de la journée à confirmer sur lnh.fr</t>
        </is>
      </c>
      <c r="T267" s="9">
        <f>IF(H267="","",IF(MAX(H267,I267)&lt;TODAY(),"Terminé",IF(H267&lt;=TODAY(),"En cours","À venir")))</f>
        <v/>
      </c>
    </row>
    <row r="268">
      <c r="A268" s="9" t="inlineStr">
        <is>
          <t>SL-2627-020</t>
        </is>
      </c>
      <c r="B268" s="9" t="inlineStr">
        <is>
          <t>Handball</t>
        </is>
      </c>
      <c r="C268" s="9" t="inlineStr">
        <is>
          <t>StarLigue</t>
        </is>
      </c>
      <c r="D268" s="9" t="inlineStr">
        <is>
          <t>2026-2027</t>
        </is>
      </c>
      <c r="E268" s="9" t="inlineStr">
        <is>
          <t>Saison régulière</t>
        </is>
      </c>
      <c r="F268" s="9" t="n">
        <v>20</v>
      </c>
      <c r="G268" s="9" t="inlineStr">
        <is>
          <t>StarLigue – Journée 20</t>
        </is>
      </c>
      <c r="H268" s="10" t="n">
        <v>46451</v>
      </c>
      <c r="I268" s="10" t="n">
        <v>46451</v>
      </c>
      <c r="J268" s="11" t="n"/>
      <c r="K268" s="9" t="inlineStr">
        <is>
          <t>Europe/Paris</t>
        </is>
      </c>
      <c r="L268" s="9" t="n"/>
      <c r="M268" s="9" t="inlineStr">
        <is>
          <t>France</t>
        </is>
      </c>
      <c r="N268" s="9" t="inlineStr">
        <is>
          <t>Hommes</t>
        </is>
      </c>
      <c r="O268" s="9" t="inlineStr">
        <is>
          <t>Provisoire</t>
        </is>
      </c>
      <c r="P268" s="9" t="inlineStr">
        <is>
          <t>Oui</t>
        </is>
      </c>
      <c r="Q268" s="9" t="inlineStr">
        <is>
          <t>https://www.teamchambe.com/equipe-premiere/calendrier-resultats/</t>
        </is>
      </c>
      <c r="R268" s="10" t="n">
        <v>46311</v>
      </c>
      <c r="S268" s="9" t="inlineStr">
        <is>
          <t>Date du match de Chambéry (calendrier club) ; plage complète de la journée à confirmer sur lnh.fr</t>
        </is>
      </c>
      <c r="T268" s="9">
        <f>IF(H268="","",IF(MAX(H268,I268)&lt;TODAY(),"Terminé",IF(H268&lt;=TODAY(),"En cours","À venir")))</f>
        <v/>
      </c>
    </row>
    <row r="269">
      <c r="A269" s="9" t="inlineStr">
        <is>
          <t>SL-2627-021</t>
        </is>
      </c>
      <c r="B269" s="9" t="inlineStr">
        <is>
          <t>Handball</t>
        </is>
      </c>
      <c r="C269" s="9" t="inlineStr">
        <is>
          <t>StarLigue</t>
        </is>
      </c>
      <c r="D269" s="9" t="inlineStr">
        <is>
          <t>2026-2027</t>
        </is>
      </c>
      <c r="E269" s="9" t="inlineStr">
        <is>
          <t>Saison régulière</t>
        </is>
      </c>
      <c r="F269" s="9" t="n">
        <v>21</v>
      </c>
      <c r="G269" s="9" t="inlineStr">
        <is>
          <t>StarLigue – Journée 21</t>
        </is>
      </c>
      <c r="H269" s="10" t="n">
        <v>46465</v>
      </c>
      <c r="I269" s="10" t="n">
        <v>46465</v>
      </c>
      <c r="J269" s="11" t="n"/>
      <c r="K269" s="9" t="inlineStr">
        <is>
          <t>Europe/Paris</t>
        </is>
      </c>
      <c r="L269" s="9" t="n"/>
      <c r="M269" s="9" t="inlineStr">
        <is>
          <t>France</t>
        </is>
      </c>
      <c r="N269" s="9" t="inlineStr">
        <is>
          <t>Hommes</t>
        </is>
      </c>
      <c r="O269" s="9" t="inlineStr">
        <is>
          <t>Provisoire</t>
        </is>
      </c>
      <c r="P269" s="9" t="inlineStr">
        <is>
          <t>Oui</t>
        </is>
      </c>
      <c r="Q269" s="9" t="inlineStr">
        <is>
          <t>https://www.teamchambe.com/equipe-premiere/calendrier-resultats/</t>
        </is>
      </c>
      <c r="R269" s="10" t="n">
        <v>46311</v>
      </c>
      <c r="S269" s="9" t="inlineStr">
        <is>
          <t>Date du match de Chambéry (calendrier club) ; plage complète de la journée à confirmer sur lnh.fr</t>
        </is>
      </c>
      <c r="T269" s="9">
        <f>IF(H269="","",IF(MAX(H269,I269)&lt;TODAY(),"Terminé",IF(H269&lt;=TODAY(),"En cours","À venir")))</f>
        <v/>
      </c>
    </row>
    <row r="270">
      <c r="A270" s="9" t="inlineStr">
        <is>
          <t>SL-2627-022</t>
        </is>
      </c>
      <c r="B270" s="9" t="inlineStr">
        <is>
          <t>Handball</t>
        </is>
      </c>
      <c r="C270" s="9" t="inlineStr">
        <is>
          <t>StarLigue</t>
        </is>
      </c>
      <c r="D270" s="9" t="inlineStr">
        <is>
          <t>2026-2027</t>
        </is>
      </c>
      <c r="E270" s="9" t="inlineStr">
        <is>
          <t>Saison régulière</t>
        </is>
      </c>
      <c r="F270" s="9" t="n">
        <v>22</v>
      </c>
      <c r="G270" s="9" t="inlineStr">
        <is>
          <t>StarLigue – Journée 22</t>
        </is>
      </c>
      <c r="H270" s="10" t="n">
        <v>46472</v>
      </c>
      <c r="I270" s="10" t="n">
        <v>46472</v>
      </c>
      <c r="J270" s="11" t="n"/>
      <c r="K270" s="9" t="inlineStr">
        <is>
          <t>Europe/Paris</t>
        </is>
      </c>
      <c r="L270" s="9" t="n"/>
      <c r="M270" s="9" t="inlineStr">
        <is>
          <t>France</t>
        </is>
      </c>
      <c r="N270" s="9" t="inlineStr">
        <is>
          <t>Hommes</t>
        </is>
      </c>
      <c r="O270" s="9" t="inlineStr">
        <is>
          <t>Provisoire</t>
        </is>
      </c>
      <c r="P270" s="9" t="inlineStr">
        <is>
          <t>Oui</t>
        </is>
      </c>
      <c r="Q270" s="9" t="inlineStr">
        <is>
          <t>https://www.teamchambe.com/equipe-premiere/calendrier-resultats/</t>
        </is>
      </c>
      <c r="R270" s="10" t="n">
        <v>46311</v>
      </c>
      <c r="S270" s="9" t="inlineStr">
        <is>
          <t>Date du match de Chambéry (calendrier club) ; plage complète de la journée à confirmer sur lnh.fr</t>
        </is>
      </c>
      <c r="T270" s="9">
        <f>IF(H270="","",IF(MAX(H270,I270)&lt;TODAY(),"Terminé",IF(H270&lt;=TODAY(),"En cours","À venir")))</f>
        <v/>
      </c>
    </row>
    <row r="271">
      <c r="A271" s="9" t="inlineStr">
        <is>
          <t>SL-2627-023</t>
        </is>
      </c>
      <c r="B271" s="9" t="inlineStr">
        <is>
          <t>Handball</t>
        </is>
      </c>
      <c r="C271" s="9" t="inlineStr">
        <is>
          <t>StarLigue</t>
        </is>
      </c>
      <c r="D271" s="9" t="inlineStr">
        <is>
          <t>2026-2027</t>
        </is>
      </c>
      <c r="E271" s="9" t="inlineStr">
        <is>
          <t>Saison régulière</t>
        </is>
      </c>
      <c r="F271" s="9" t="n">
        <v>23</v>
      </c>
      <c r="G271" s="9" t="inlineStr">
        <is>
          <t>StarLigue – Journée 23</t>
        </is>
      </c>
      <c r="H271" s="10" t="n">
        <v>46479</v>
      </c>
      <c r="I271" s="10" t="n">
        <v>46479</v>
      </c>
      <c r="J271" s="11" t="n"/>
      <c r="K271" s="9" t="inlineStr">
        <is>
          <t>Europe/Paris</t>
        </is>
      </c>
      <c r="L271" s="9" t="n"/>
      <c r="M271" s="9" t="inlineStr">
        <is>
          <t>France</t>
        </is>
      </c>
      <c r="N271" s="9" t="inlineStr">
        <is>
          <t>Hommes</t>
        </is>
      </c>
      <c r="O271" s="9" t="inlineStr">
        <is>
          <t>Provisoire</t>
        </is>
      </c>
      <c r="P271" s="9" t="inlineStr">
        <is>
          <t>Oui</t>
        </is>
      </c>
      <c r="Q271" s="9" t="inlineStr">
        <is>
          <t>https://www.teamchambe.com/equipe-premiere/calendrier-resultats/</t>
        </is>
      </c>
      <c r="R271" s="10" t="n">
        <v>46311</v>
      </c>
      <c r="S271" s="9" t="inlineStr">
        <is>
          <t>Date du match de Chambéry (calendrier club) ; plage complète de la journée à confirmer sur lnh.fr</t>
        </is>
      </c>
      <c r="T271" s="9">
        <f>IF(H271="","",IF(MAX(H271,I271)&lt;TODAY(),"Terminé",IF(H271&lt;=TODAY(),"En cours","À venir")))</f>
        <v/>
      </c>
    </row>
    <row r="272">
      <c r="A272" s="9" t="inlineStr">
        <is>
          <t>SL-2627-024</t>
        </is>
      </c>
      <c r="B272" s="9" t="inlineStr">
        <is>
          <t>Handball</t>
        </is>
      </c>
      <c r="C272" s="9" t="inlineStr">
        <is>
          <t>StarLigue</t>
        </is>
      </c>
      <c r="D272" s="9" t="inlineStr">
        <is>
          <t>2026-2027</t>
        </is>
      </c>
      <c r="E272" s="9" t="inlineStr">
        <is>
          <t>Saison régulière</t>
        </is>
      </c>
      <c r="F272" s="9" t="n">
        <v>24</v>
      </c>
      <c r="G272" s="9" t="inlineStr">
        <is>
          <t>StarLigue – Journée 24</t>
        </is>
      </c>
      <c r="H272" s="10" t="n">
        <v>46486</v>
      </c>
      <c r="I272" s="10" t="n">
        <v>46486</v>
      </c>
      <c r="J272" s="11" t="n"/>
      <c r="K272" s="9" t="inlineStr">
        <is>
          <t>Europe/Paris</t>
        </is>
      </c>
      <c r="L272" s="9" t="n"/>
      <c r="M272" s="9" t="inlineStr">
        <is>
          <t>France</t>
        </is>
      </c>
      <c r="N272" s="9" t="inlineStr">
        <is>
          <t>Hommes</t>
        </is>
      </c>
      <c r="O272" s="9" t="inlineStr">
        <is>
          <t>Provisoire</t>
        </is>
      </c>
      <c r="P272" s="9" t="inlineStr">
        <is>
          <t>Oui</t>
        </is>
      </c>
      <c r="Q272" s="9" t="inlineStr">
        <is>
          <t>https://www.teamchambe.com/equipe-premiere/calendrier-resultats/</t>
        </is>
      </c>
      <c r="R272" s="10" t="n">
        <v>46311</v>
      </c>
      <c r="S272" s="9" t="inlineStr">
        <is>
          <t>Date du match de Chambéry (calendrier club) ; plage complète de la journée à confirmer sur lnh.fr</t>
        </is>
      </c>
      <c r="T272" s="9">
        <f>IF(H272="","",IF(MAX(H272,I272)&lt;TODAY(),"Terminé",IF(H272&lt;=TODAY(),"En cours","À venir")))</f>
        <v/>
      </c>
    </row>
    <row r="273">
      <c r="A273" s="9" t="inlineStr">
        <is>
          <t>SL-2627-025</t>
        </is>
      </c>
      <c r="B273" s="9" t="inlineStr">
        <is>
          <t>Handball</t>
        </is>
      </c>
      <c r="C273" s="9" t="inlineStr">
        <is>
          <t>StarLigue</t>
        </is>
      </c>
      <c r="D273" s="9" t="inlineStr">
        <is>
          <t>2026-2027</t>
        </is>
      </c>
      <c r="E273" s="9" t="inlineStr">
        <is>
          <t>Saison régulière</t>
        </is>
      </c>
      <c r="F273" s="9" t="n">
        <v>25</v>
      </c>
      <c r="G273" s="9" t="inlineStr">
        <is>
          <t>StarLigue – Journée 25</t>
        </is>
      </c>
      <c r="H273" s="10" t="n">
        <v>46490</v>
      </c>
      <c r="I273" s="10" t="n">
        <v>46490</v>
      </c>
      <c r="J273" s="11" t="n"/>
      <c r="K273" s="9" t="inlineStr">
        <is>
          <t>Europe/Paris</t>
        </is>
      </c>
      <c r="L273" s="9" t="n"/>
      <c r="M273" s="9" t="inlineStr">
        <is>
          <t>France</t>
        </is>
      </c>
      <c r="N273" s="9" t="inlineStr">
        <is>
          <t>Hommes</t>
        </is>
      </c>
      <c r="O273" s="9" t="inlineStr">
        <is>
          <t>Provisoire</t>
        </is>
      </c>
      <c r="P273" s="9" t="inlineStr">
        <is>
          <t>Oui</t>
        </is>
      </c>
      <c r="Q273" s="9" t="inlineStr">
        <is>
          <t>https://www.teamchambe.com/equipe-premiere/calendrier-resultats/</t>
        </is>
      </c>
      <c r="R273" s="10" t="n">
        <v>46311</v>
      </c>
      <c r="S273" s="9" t="inlineStr">
        <is>
          <t>Date du match de Chambéry (calendrier club) ; plage complète de la journée à confirmer sur lnh.fr</t>
        </is>
      </c>
      <c r="T273" s="9">
        <f>IF(H273="","",IF(MAX(H273,I273)&lt;TODAY(),"Terminé",IF(H273&lt;=TODAY(),"En cours","À venir")))</f>
        <v/>
      </c>
    </row>
    <row r="274">
      <c r="A274" s="9" t="inlineStr">
        <is>
          <t>SL-2627-026</t>
        </is>
      </c>
      <c r="B274" s="9" t="inlineStr">
        <is>
          <t>Handball</t>
        </is>
      </c>
      <c r="C274" s="9" t="inlineStr">
        <is>
          <t>StarLigue</t>
        </is>
      </c>
      <c r="D274" s="9" t="inlineStr">
        <is>
          <t>2026-2027</t>
        </is>
      </c>
      <c r="E274" s="9" t="inlineStr">
        <is>
          <t>Saison régulière</t>
        </is>
      </c>
      <c r="F274" s="9" t="n">
        <v>26</v>
      </c>
      <c r="G274" s="9" t="inlineStr">
        <is>
          <t>StarLigue – Journée 26</t>
        </is>
      </c>
      <c r="H274" s="10" t="n">
        <v>46493</v>
      </c>
      <c r="I274" s="10" t="n">
        <v>46493</v>
      </c>
      <c r="J274" s="11" t="n"/>
      <c r="K274" s="9" t="inlineStr">
        <is>
          <t>Europe/Paris</t>
        </is>
      </c>
      <c r="L274" s="9" t="n"/>
      <c r="M274" s="9" t="inlineStr">
        <is>
          <t>France</t>
        </is>
      </c>
      <c r="N274" s="9" t="inlineStr">
        <is>
          <t>Hommes</t>
        </is>
      </c>
      <c r="O274" s="9" t="inlineStr">
        <is>
          <t>Provisoire</t>
        </is>
      </c>
      <c r="P274" s="9" t="inlineStr">
        <is>
          <t>Oui</t>
        </is>
      </c>
      <c r="Q274" s="9" t="inlineStr">
        <is>
          <t>https://www.teamchambe.com/equipe-premiere/calendrier-resultats/</t>
        </is>
      </c>
      <c r="R274" s="10" t="n">
        <v>46311</v>
      </c>
      <c r="S274" s="9" t="inlineStr">
        <is>
          <t>Date du match de Chambéry (calendrier club) ; plage complète de la journée à confirmer sur lnh.fr</t>
        </is>
      </c>
      <c r="T274" s="9">
        <f>IF(H274="","",IF(MAX(H274,I274)&lt;TODAY(),"Terminé",IF(H274&lt;=TODAY(),"En cours","À venir")))</f>
        <v/>
      </c>
    </row>
    <row r="275">
      <c r="A275" s="9" t="inlineStr">
        <is>
          <t>SL-2627-027</t>
        </is>
      </c>
      <c r="B275" s="9" t="inlineStr">
        <is>
          <t>Handball</t>
        </is>
      </c>
      <c r="C275" s="9" t="inlineStr">
        <is>
          <t>StarLigue</t>
        </is>
      </c>
      <c r="D275" s="9" t="inlineStr">
        <is>
          <t>2026-2027</t>
        </is>
      </c>
      <c r="E275" s="9" t="inlineStr">
        <is>
          <t>Saison régulière</t>
        </is>
      </c>
      <c r="F275" s="9" t="n">
        <v>27</v>
      </c>
      <c r="G275" s="9" t="inlineStr">
        <is>
          <t>StarLigue – Journée 27</t>
        </is>
      </c>
      <c r="H275" s="10" t="n">
        <v>46500</v>
      </c>
      <c r="I275" s="10" t="n">
        <v>46500</v>
      </c>
      <c r="J275" s="11" t="n"/>
      <c r="K275" s="9" t="inlineStr">
        <is>
          <t>Europe/Paris</t>
        </is>
      </c>
      <c r="L275" s="9" t="n"/>
      <c r="M275" s="9" t="inlineStr">
        <is>
          <t>France</t>
        </is>
      </c>
      <c r="N275" s="9" t="inlineStr">
        <is>
          <t>Hommes</t>
        </is>
      </c>
      <c r="O275" s="9" t="inlineStr">
        <is>
          <t>Provisoire</t>
        </is>
      </c>
      <c r="P275" s="9" t="inlineStr">
        <is>
          <t>Oui</t>
        </is>
      </c>
      <c r="Q275" s="9" t="inlineStr">
        <is>
          <t>https://www.teamchambe.com/equipe-premiere/calendrier-resultats/</t>
        </is>
      </c>
      <c r="R275" s="10" t="n">
        <v>46311</v>
      </c>
      <c r="S275" s="9" t="inlineStr">
        <is>
          <t>Date du match de Chambéry (calendrier club) ; plage complète de la journée à confirmer sur lnh.fr</t>
        </is>
      </c>
      <c r="T275" s="9">
        <f>IF(H275="","",IF(MAX(H275,I275)&lt;TODAY(),"Terminé",IF(H275&lt;=TODAY(),"En cours","À venir")))</f>
        <v/>
      </c>
    </row>
    <row r="276">
      <c r="A276" s="9" t="inlineStr">
        <is>
          <t>SL-2627-028</t>
        </is>
      </c>
      <c r="B276" s="9" t="inlineStr">
        <is>
          <t>Handball</t>
        </is>
      </c>
      <c r="C276" s="9" t="inlineStr">
        <is>
          <t>StarLigue</t>
        </is>
      </c>
      <c r="D276" s="9" t="inlineStr">
        <is>
          <t>2026-2027</t>
        </is>
      </c>
      <c r="E276" s="9" t="inlineStr">
        <is>
          <t>Saison régulière</t>
        </is>
      </c>
      <c r="F276" s="9" t="n">
        <v>28</v>
      </c>
      <c r="G276" s="9" t="inlineStr">
        <is>
          <t>StarLigue – Journée 28</t>
        </is>
      </c>
      <c r="H276" s="10" t="n">
        <v>46507</v>
      </c>
      <c r="I276" s="10" t="n">
        <v>46507</v>
      </c>
      <c r="J276" s="11" t="n"/>
      <c r="K276" s="9" t="inlineStr">
        <is>
          <t>Europe/Paris</t>
        </is>
      </c>
      <c r="L276" s="9" t="n"/>
      <c r="M276" s="9" t="inlineStr">
        <is>
          <t>France</t>
        </is>
      </c>
      <c r="N276" s="9" t="inlineStr">
        <is>
          <t>Hommes</t>
        </is>
      </c>
      <c r="O276" s="9" t="inlineStr">
        <is>
          <t>Provisoire</t>
        </is>
      </c>
      <c r="P276" s="9" t="inlineStr">
        <is>
          <t>Oui</t>
        </is>
      </c>
      <c r="Q276" s="9" t="inlineStr">
        <is>
          <t>https://www.teamchambe.com/equipe-premiere/calendrier-resultats/</t>
        </is>
      </c>
      <c r="R276" s="10" t="n">
        <v>46311</v>
      </c>
      <c r="S276" s="9" t="inlineStr">
        <is>
          <t>Date du match de Chambéry (calendrier club) ; plage complète de la journée à confirmer sur lnh.fr</t>
        </is>
      </c>
      <c r="T276" s="9">
        <f>IF(H276="","",IF(MAX(H276,I276)&lt;TODAY(),"Terminé",IF(H276&lt;=TODAY(),"En cours","À venir")))</f>
        <v/>
      </c>
    </row>
    <row r="277">
      <c r="A277" s="9" t="inlineStr">
        <is>
          <t>SL-2627-029</t>
        </is>
      </c>
      <c r="B277" s="9" t="inlineStr">
        <is>
          <t>Handball</t>
        </is>
      </c>
      <c r="C277" s="9" t="inlineStr">
        <is>
          <t>StarLigue</t>
        </is>
      </c>
      <c r="D277" s="9" t="inlineStr">
        <is>
          <t>2026-2027</t>
        </is>
      </c>
      <c r="E277" s="9" t="inlineStr">
        <is>
          <t>Saison régulière</t>
        </is>
      </c>
      <c r="F277" s="9" t="n">
        <v>29</v>
      </c>
      <c r="G277" s="9" t="inlineStr">
        <is>
          <t>StarLigue – Journée 29</t>
        </is>
      </c>
      <c r="H277" s="10" t="n">
        <v>46521</v>
      </c>
      <c r="I277" s="10" t="n">
        <v>46521</v>
      </c>
      <c r="J277" s="11" t="n"/>
      <c r="K277" s="9" t="inlineStr">
        <is>
          <t>Europe/Paris</t>
        </is>
      </c>
      <c r="L277" s="9" t="n"/>
      <c r="M277" s="9" t="inlineStr">
        <is>
          <t>France</t>
        </is>
      </c>
      <c r="N277" s="9" t="inlineStr">
        <is>
          <t>Hommes</t>
        </is>
      </c>
      <c r="O277" s="9" t="inlineStr">
        <is>
          <t>Provisoire</t>
        </is>
      </c>
      <c r="P277" s="9" t="inlineStr">
        <is>
          <t>Oui</t>
        </is>
      </c>
      <c r="Q277" s="9" t="inlineStr">
        <is>
          <t>https://www.teamchambe.com/equipe-premiere/calendrier-resultats/</t>
        </is>
      </c>
      <c r="R277" s="10" t="n">
        <v>46311</v>
      </c>
      <c r="S277" s="9" t="inlineStr">
        <is>
          <t>Date du match de Chambéry (calendrier club) ; plage complète de la journée à confirmer sur lnh.fr</t>
        </is>
      </c>
      <c r="T277" s="9">
        <f>IF(H277="","",IF(MAX(H277,I277)&lt;TODAY(),"Terminé",IF(H277&lt;=TODAY(),"En cours","À venir")))</f>
        <v/>
      </c>
    </row>
    <row r="278">
      <c r="A278" s="9" t="inlineStr">
        <is>
          <t>SL-2627-030</t>
        </is>
      </c>
      <c r="B278" s="9" t="inlineStr">
        <is>
          <t>Handball</t>
        </is>
      </c>
      <c r="C278" s="9" t="inlineStr">
        <is>
          <t>StarLigue</t>
        </is>
      </c>
      <c r="D278" s="9" t="inlineStr">
        <is>
          <t>2026-2027</t>
        </is>
      </c>
      <c r="E278" s="9" t="inlineStr">
        <is>
          <t>Saison régulière</t>
        </is>
      </c>
      <c r="F278" s="9" t="n">
        <v>30</v>
      </c>
      <c r="G278" s="9" t="inlineStr">
        <is>
          <t>StarLigue – Journée 30</t>
        </is>
      </c>
      <c r="H278" s="10" t="n">
        <v>46526</v>
      </c>
      <c r="I278" s="10" t="n">
        <v>46526</v>
      </c>
      <c r="J278" s="11" t="n"/>
      <c r="K278" s="9" t="inlineStr">
        <is>
          <t>Europe/Paris</t>
        </is>
      </c>
      <c r="L278" s="9" t="n"/>
      <c r="M278" s="9" t="inlineStr">
        <is>
          <t>France</t>
        </is>
      </c>
      <c r="N278" s="9" t="inlineStr">
        <is>
          <t>Hommes</t>
        </is>
      </c>
      <c r="O278" s="9" t="inlineStr">
        <is>
          <t>Provisoire</t>
        </is>
      </c>
      <c r="P278" s="9" t="inlineStr">
        <is>
          <t>Oui</t>
        </is>
      </c>
      <c r="Q278" s="9" t="inlineStr">
        <is>
          <t>https://docs.lnh.fr/dp/</t>
        </is>
      </c>
      <c r="R278" s="10" t="n">
        <v>46311</v>
      </c>
      <c r="S278" s="9" t="inlineStr">
        <is>
          <t>Dernière journée (mercredi 19 mai selon calendrier ; le médiaguide écrit « samedi »)</t>
        </is>
      </c>
      <c r="T278" s="9">
        <f>IF(H278="","",IF(MAX(H278,I278)&lt;TODAY(),"Terminé",IF(H278&lt;=TODAY(),"En cours","À venir")))</f>
        <v/>
      </c>
    </row>
    <row r="279">
      <c r="A279" s="9" t="inlineStr">
        <is>
          <t>SL-2627-031</t>
        </is>
      </c>
      <c r="B279" s="9" t="inlineStr">
        <is>
          <t>Handball</t>
        </is>
      </c>
      <c r="C279" s="9" t="inlineStr">
        <is>
          <t>StarLigue</t>
        </is>
      </c>
      <c r="D279" s="9" t="inlineStr">
        <is>
          <t>2026-2027</t>
        </is>
      </c>
      <c r="E279" s="9" t="inlineStr">
        <is>
          <t>Play-offs – Demi-finales</t>
        </is>
      </c>
      <c r="F279" s="9" t="n"/>
      <c r="G279" s="9" t="inlineStr">
        <is>
          <t>StarLigue – Demi-finales (aller-retour)</t>
        </is>
      </c>
      <c r="H279" s="10" t="n">
        <v>46533</v>
      </c>
      <c r="I279" s="10" t="n">
        <v>46536</v>
      </c>
      <c r="J279" s="11" t="n"/>
      <c r="K279" s="9" t="inlineStr">
        <is>
          <t>Europe/Paris</t>
        </is>
      </c>
      <c r="L279" s="9" t="n"/>
      <c r="M279" s="9" t="inlineStr">
        <is>
          <t>France</t>
        </is>
      </c>
      <c r="N279" s="9" t="inlineStr">
        <is>
          <t>Hommes</t>
        </is>
      </c>
      <c r="O279" s="9" t="inlineStr">
        <is>
          <t>Provisoire</t>
        </is>
      </c>
      <c r="P279" s="9" t="inlineStr">
        <is>
          <t>Oui</t>
        </is>
      </c>
      <c r="Q279" s="9" t="inlineStr">
        <is>
          <t>https://www.montpellierhandball.com/fr/actualites/2026-07-09/decouvrez-le-calendrier-26-27-de-la-daikin-starligue</t>
        </is>
      </c>
      <c r="R279" s="10" t="n">
        <v>46311</v>
      </c>
      <c r="S279" s="9" t="inlineStr">
        <is>
          <t>1er-4e et 2e-3e ; fenêtre LNH des playoffs du 26 mai au 4 juin 2027</t>
        </is>
      </c>
      <c r="T279" s="9">
        <f>IF(H279="","",IF(MAX(H279,I279)&lt;TODAY(),"Terminé",IF(H279&lt;=TODAY(),"En cours","À venir")))</f>
        <v/>
      </c>
    </row>
    <row r="280">
      <c r="A280" s="9" t="inlineStr">
        <is>
          <t>SL-2627-032</t>
        </is>
      </c>
      <c r="B280" s="9" t="inlineStr">
        <is>
          <t>Handball</t>
        </is>
      </c>
      <c r="C280" s="9" t="inlineStr">
        <is>
          <t>StarLigue</t>
        </is>
      </c>
      <c r="D280" s="9" t="inlineStr">
        <is>
          <t>2026-2027</t>
        </is>
      </c>
      <c r="E280" s="9" t="inlineStr">
        <is>
          <t>Finale</t>
        </is>
      </c>
      <c r="F280" s="9" t="n"/>
      <c r="G280" s="9" t="inlineStr">
        <is>
          <t>StarLigue – Finale</t>
        </is>
      </c>
      <c r="H280" s="10" t="n">
        <v>46543</v>
      </c>
      <c r="I280" s="10" t="n">
        <v>46543</v>
      </c>
      <c r="J280" s="11" t="n"/>
      <c r="K280" s="9" t="inlineStr">
        <is>
          <t>Europe/Paris</t>
        </is>
      </c>
      <c r="L280" s="9" t="n"/>
      <c r="M280" s="9" t="inlineStr">
        <is>
          <t>France</t>
        </is>
      </c>
      <c r="N280" s="9" t="inlineStr">
        <is>
          <t>Hommes</t>
        </is>
      </c>
      <c r="O280" s="9" t="inlineStr">
        <is>
          <t>Officiel</t>
        </is>
      </c>
      <c r="P280" s="9" t="inlineStr">
        <is>
          <t>Oui</t>
        </is>
      </c>
      <c r="Q280" s="9" t="inlineStr">
        <is>
          <t>https://www.lnh.fr/lnh/news/2026-07-08/daikin-starligue-calendrier-2026-2027-devoile-avec-playoffs-en-ligne-de-mire</t>
        </is>
      </c>
      <c r="R280" s="10" t="n">
        <v>46311</v>
      </c>
      <c r="S280" s="9" t="inlineStr">
        <is>
          <t>Match unique en lieu neutre, lieu à définir</t>
        </is>
      </c>
      <c r="T280" s="9">
        <f>IF(H280="","",IF(MAX(H280,I280)&lt;TODAY(),"Terminé",IF(H280&lt;=TODAY(),"En cours","À venir")))</f>
        <v/>
      </c>
    </row>
    <row r="281">
      <c r="A281" s="9" t="inlineStr">
        <is>
          <t>MAG-2627-001</t>
        </is>
      </c>
      <c r="B281" s="9" t="inlineStr">
        <is>
          <t>Hockey sur glace</t>
        </is>
      </c>
      <c r="C281" s="9" t="inlineStr">
        <is>
          <t>Ligue Magnus</t>
        </is>
      </c>
      <c r="D281" s="9" t="inlineStr">
        <is>
          <t>2026-2027</t>
        </is>
      </c>
      <c r="E281" s="9" t="inlineStr">
        <is>
          <t>Saison régulière</t>
        </is>
      </c>
      <c r="F281" s="9" t="n">
        <v>1</v>
      </c>
      <c r="G281" s="9" t="inlineStr">
        <is>
          <t>Ligue Magnus – Journée 1</t>
        </is>
      </c>
      <c r="H281" s="10" t="n">
        <v>46280</v>
      </c>
      <c r="I281" s="10" t="n">
        <v>46280</v>
      </c>
      <c r="J281" s="11" t="n"/>
      <c r="K281" s="9" t="inlineStr">
        <is>
          <t>Europe/Paris</t>
        </is>
      </c>
      <c r="L281" s="9" t="n"/>
      <c r="M281" s="9" t="inlineStr">
        <is>
          <t>France</t>
        </is>
      </c>
      <c r="N281" s="9" t="inlineStr">
        <is>
          <t>Hommes</t>
        </is>
      </c>
      <c r="O281" s="9" t="inlineStr">
        <is>
          <t>Officiel</t>
        </is>
      </c>
      <c r="P281" s="9" t="inlineStr">
        <is>
          <t>Oui</t>
        </is>
      </c>
      <c r="Q281" s="9" t="inlineStr">
        <is>
          <t>https://liguemagnus.com/2026/09/14/j1-saison-2026-2027-cest-parti/</t>
        </is>
      </c>
      <c r="R281" s="10" t="n">
        <v>46311</v>
      </c>
      <c r="S281" s="9" t="n"/>
      <c r="T281" s="9">
        <f>IF(H281="","",IF(MAX(H281,I281)&lt;TODAY(),"Terminé",IF(H281&lt;=TODAY(),"En cours","À venir")))</f>
        <v/>
      </c>
    </row>
    <row r="282">
      <c r="A282" s="9" t="inlineStr">
        <is>
          <t>MAG-2627-002</t>
        </is>
      </c>
      <c r="B282" s="9" t="inlineStr">
        <is>
          <t>Hockey sur glace</t>
        </is>
      </c>
      <c r="C282" s="9" t="inlineStr">
        <is>
          <t>Ligue Magnus</t>
        </is>
      </c>
      <c r="D282" s="9" t="inlineStr">
        <is>
          <t>2026-2027</t>
        </is>
      </c>
      <c r="E282" s="9" t="inlineStr">
        <is>
          <t>Saison régulière</t>
        </is>
      </c>
      <c r="F282" s="9" t="n">
        <v>2</v>
      </c>
      <c r="G282" s="9" t="inlineStr">
        <is>
          <t>Ligue Magnus – Journée 2</t>
        </is>
      </c>
      <c r="H282" s="10" t="n">
        <v>46283</v>
      </c>
      <c r="I282" s="10" t="n">
        <v>46283</v>
      </c>
      <c r="J282" s="11" t="n"/>
      <c r="K282" s="9" t="inlineStr">
        <is>
          <t>Europe/Paris</t>
        </is>
      </c>
      <c r="L282" s="9" t="n"/>
      <c r="M282" s="9" t="inlineStr">
        <is>
          <t>France</t>
        </is>
      </c>
      <c r="N282" s="9" t="inlineStr">
        <is>
          <t>Hommes</t>
        </is>
      </c>
      <c r="O282" s="9" t="inlineStr">
        <is>
          <t>Officiel</t>
        </is>
      </c>
      <c r="P282" s="9" t="inlineStr">
        <is>
          <t>Oui</t>
        </is>
      </c>
      <c r="Q282" s="9" t="inlineStr">
        <is>
          <t>https://liguemagnus.com/2026/09/17/j2-pour-qui-les-bonnes-operations/</t>
        </is>
      </c>
      <c r="R282" s="10" t="n">
        <v>46311</v>
      </c>
      <c r="S282" s="9" t="n"/>
      <c r="T282" s="9">
        <f>IF(H282="","",IF(MAX(H282,I282)&lt;TODAY(),"Terminé",IF(H282&lt;=TODAY(),"En cours","À venir")))</f>
        <v/>
      </c>
    </row>
    <row r="283">
      <c r="A283" s="9" t="inlineStr">
        <is>
          <t>MAG-2627-003</t>
        </is>
      </c>
      <c r="B283" s="9" t="inlineStr">
        <is>
          <t>Hockey sur glace</t>
        </is>
      </c>
      <c r="C283" s="9" t="inlineStr">
        <is>
          <t>Ligue Magnus</t>
        </is>
      </c>
      <c r="D283" s="9" t="inlineStr">
        <is>
          <t>2026-2027</t>
        </is>
      </c>
      <c r="E283" s="9" t="inlineStr">
        <is>
          <t>Saison régulière</t>
        </is>
      </c>
      <c r="F283" s="9" t="n">
        <v>3</v>
      </c>
      <c r="G283" s="9" t="inlineStr">
        <is>
          <t>Ligue Magnus – Journée 3</t>
        </is>
      </c>
      <c r="H283" s="10" t="n">
        <v>46287</v>
      </c>
      <c r="I283" s="10" t="n">
        <v>46287</v>
      </c>
      <c r="J283" s="11" t="n"/>
      <c r="K283" s="9" t="inlineStr">
        <is>
          <t>Europe/Paris</t>
        </is>
      </c>
      <c r="L283" s="9" t="n"/>
      <c r="M283" s="9" t="inlineStr">
        <is>
          <t>France</t>
        </is>
      </c>
      <c r="N283" s="9" t="inlineStr">
        <is>
          <t>Hommes</t>
        </is>
      </c>
      <c r="O283" s="9" t="inlineStr">
        <is>
          <t>Officiel</t>
        </is>
      </c>
      <c r="P283" s="9" t="inlineStr">
        <is>
          <t>Oui</t>
        </is>
      </c>
      <c r="Q283" s="9" t="inlineStr">
        <is>
          <t>https://liguemagnus.com/2026/09/21/j3-briancon-bordeaux-en-tete-daffiche/</t>
        </is>
      </c>
      <c r="R283" s="10" t="n">
        <v>46311</v>
      </c>
      <c r="S283" s="9" t="n"/>
      <c r="T283" s="9">
        <f>IF(H283="","",IF(MAX(H283,I283)&lt;TODAY(),"Terminé",IF(H283&lt;=TODAY(),"En cours","À venir")))</f>
        <v/>
      </c>
    </row>
    <row r="284">
      <c r="A284" s="9" t="inlineStr">
        <is>
          <t>MAG-2627-004</t>
        </is>
      </c>
      <c r="B284" s="9" t="inlineStr">
        <is>
          <t>Hockey sur glace</t>
        </is>
      </c>
      <c r="C284" s="9" t="inlineStr">
        <is>
          <t>Ligue Magnus</t>
        </is>
      </c>
      <c r="D284" s="9" t="inlineStr">
        <is>
          <t>2026-2027</t>
        </is>
      </c>
      <c r="E284" s="9" t="inlineStr">
        <is>
          <t>Saison régulière</t>
        </is>
      </c>
      <c r="F284" s="9" t="n">
        <v>4</v>
      </c>
      <c r="G284" s="9" t="inlineStr">
        <is>
          <t>Ligue Magnus – Journée 4</t>
        </is>
      </c>
      <c r="H284" s="10" t="n">
        <v>46290</v>
      </c>
      <c r="I284" s="10" t="n">
        <v>46290</v>
      </c>
      <c r="J284" s="11" t="n"/>
      <c r="K284" s="9" t="inlineStr">
        <is>
          <t>Europe/Paris</t>
        </is>
      </c>
      <c r="L284" s="9" t="n"/>
      <c r="M284" s="9" t="inlineStr">
        <is>
          <t>France</t>
        </is>
      </c>
      <c r="N284" s="9" t="inlineStr">
        <is>
          <t>Hommes</t>
        </is>
      </c>
      <c r="O284" s="9" t="inlineStr">
        <is>
          <t>Officiel</t>
        </is>
      </c>
      <c r="P284" s="9" t="inlineStr">
        <is>
          <t>Oui</t>
        </is>
      </c>
      <c r="Q284" s="9" t="inlineStr">
        <is>
          <t>https://liguemagnus.com/2026/09/25/j4-j5-deux-receptions-pour-conserver-la-1ere-place/</t>
        </is>
      </c>
      <c r="R284" s="10" t="n">
        <v>46311</v>
      </c>
      <c r="S284" s="9" t="n"/>
      <c r="T284" s="9">
        <f>IF(H284="","",IF(MAX(H284,I284)&lt;TODAY(),"Terminé",IF(H284&lt;=TODAY(),"En cours","À venir")))</f>
        <v/>
      </c>
    </row>
    <row r="285">
      <c r="A285" s="9" t="inlineStr">
        <is>
          <t>MAG-2627-005</t>
        </is>
      </c>
      <c r="B285" s="9" t="inlineStr">
        <is>
          <t>Hockey sur glace</t>
        </is>
      </c>
      <c r="C285" s="9" t="inlineStr">
        <is>
          <t>Ligue Magnus</t>
        </is>
      </c>
      <c r="D285" s="9" t="inlineStr">
        <is>
          <t>2026-2027</t>
        </is>
      </c>
      <c r="E285" s="9" t="inlineStr">
        <is>
          <t>Saison régulière</t>
        </is>
      </c>
      <c r="F285" s="9" t="n">
        <v>5</v>
      </c>
      <c r="G285" s="9" t="inlineStr">
        <is>
          <t>Ligue Magnus – Journée 5</t>
        </is>
      </c>
      <c r="H285" s="10" t="n">
        <v>46292</v>
      </c>
      <c r="I285" s="10" t="n">
        <v>46292</v>
      </c>
      <c r="J285" s="11" t="n"/>
      <c r="K285" s="9" t="inlineStr">
        <is>
          <t>Europe/Paris</t>
        </is>
      </c>
      <c r="L285" s="9" t="n"/>
      <c r="M285" s="9" t="inlineStr">
        <is>
          <t>France</t>
        </is>
      </c>
      <c r="N285" s="9" t="inlineStr">
        <is>
          <t>Hommes</t>
        </is>
      </c>
      <c r="O285" s="9" t="inlineStr">
        <is>
          <t>Officiel</t>
        </is>
      </c>
      <c r="P285" s="9" t="inlineStr">
        <is>
          <t>Oui</t>
        </is>
      </c>
      <c r="Q285" s="9" t="inlineStr">
        <is>
          <t>https://liguemagnus.com/2026/09/25/j4-j5-deux-receptions-pour-conserver-la-1ere-place/</t>
        </is>
      </c>
      <c r="R285" s="10" t="n">
        <v>46311</v>
      </c>
      <c r="S285" s="9" t="n"/>
      <c r="T285" s="9">
        <f>IF(H285="","",IF(MAX(H285,I285)&lt;TODAY(),"Terminé",IF(H285&lt;=TODAY(),"En cours","À venir")))</f>
        <v/>
      </c>
    </row>
    <row r="286">
      <c r="A286" s="9" t="inlineStr">
        <is>
          <t>MAG-2627-006</t>
        </is>
      </c>
      <c r="B286" s="9" t="inlineStr">
        <is>
          <t>Hockey sur glace</t>
        </is>
      </c>
      <c r="C286" s="9" t="inlineStr">
        <is>
          <t>Ligue Magnus</t>
        </is>
      </c>
      <c r="D286" s="9" t="inlineStr">
        <is>
          <t>2026-2027</t>
        </is>
      </c>
      <c r="E286" s="9" t="inlineStr">
        <is>
          <t>Saison régulière</t>
        </is>
      </c>
      <c r="F286" s="9" t="n">
        <v>6</v>
      </c>
      <c r="G286" s="9" t="inlineStr">
        <is>
          <t>Ligue Magnus – Journée 6</t>
        </is>
      </c>
      <c r="H286" s="10" t="n">
        <v>46294</v>
      </c>
      <c r="I286" s="10" t="n">
        <v>46294</v>
      </c>
      <c r="J286" s="11" t="n"/>
      <c r="K286" s="9" t="inlineStr">
        <is>
          <t>Europe/Paris</t>
        </is>
      </c>
      <c r="L286" s="9" t="n"/>
      <c r="M286" s="9" t="inlineStr">
        <is>
          <t>France</t>
        </is>
      </c>
      <c r="N286" s="9" t="inlineStr">
        <is>
          <t>Hommes</t>
        </is>
      </c>
      <c r="O286" s="9" t="inlineStr">
        <is>
          <t>Officiel</t>
        </is>
      </c>
      <c r="P286" s="9" t="inlineStr">
        <is>
          <t>Oui</t>
        </is>
      </c>
      <c r="Q286" s="9" t="inlineStr">
        <is>
          <t>https://liguemagnus.com/calendrier-resultats/</t>
        </is>
      </c>
      <c r="R286" s="10" t="n">
        <v>46311</v>
      </c>
      <c r="S286" s="9" t="n"/>
      <c r="T286" s="9">
        <f>IF(H286="","",IF(MAX(H286,I286)&lt;TODAY(),"Terminé",IF(H286&lt;=TODAY(),"En cours","À venir")))</f>
        <v/>
      </c>
    </row>
    <row r="287">
      <c r="A287" s="9" t="inlineStr">
        <is>
          <t>MAG-2627-007</t>
        </is>
      </c>
      <c r="B287" s="9" t="inlineStr">
        <is>
          <t>Hockey sur glace</t>
        </is>
      </c>
      <c r="C287" s="9" t="inlineStr">
        <is>
          <t>Ligue Magnus</t>
        </is>
      </c>
      <c r="D287" s="9" t="inlineStr">
        <is>
          <t>2026-2027</t>
        </is>
      </c>
      <c r="E287" s="9" t="inlineStr">
        <is>
          <t>Saison régulière</t>
        </is>
      </c>
      <c r="F287" s="9" t="n">
        <v>7</v>
      </c>
      <c r="G287" s="9" t="inlineStr">
        <is>
          <t>Ligue Magnus – Journée 7</t>
        </is>
      </c>
      <c r="H287" s="10" t="n">
        <v>46297</v>
      </c>
      <c r="I287" s="10" t="n">
        <v>46297</v>
      </c>
      <c r="J287" s="11" t="n"/>
      <c r="K287" s="9" t="inlineStr">
        <is>
          <t>Europe/Paris</t>
        </is>
      </c>
      <c r="L287" s="9" t="n"/>
      <c r="M287" s="9" t="inlineStr">
        <is>
          <t>France</t>
        </is>
      </c>
      <c r="N287" s="9" t="inlineStr">
        <is>
          <t>Hommes</t>
        </is>
      </c>
      <c r="O287" s="9" t="inlineStr">
        <is>
          <t>Officiel</t>
        </is>
      </c>
      <c r="P287" s="9" t="inlineStr">
        <is>
          <t>Oui</t>
        </is>
      </c>
      <c r="Q287" s="9" t="inlineStr">
        <is>
          <t>https://liguemagnus.com/2026/10/02/j7-j8-important-a-tous-les-niveaux/</t>
        </is>
      </c>
      <c r="R287" s="10" t="n">
        <v>46311</v>
      </c>
      <c r="S287" s="9" t="n"/>
      <c r="T287" s="9">
        <f>IF(H287="","",IF(MAX(H287,I287)&lt;TODAY(),"Terminé",IF(H287&lt;=TODAY(),"En cours","À venir")))</f>
        <v/>
      </c>
    </row>
    <row r="288">
      <c r="A288" s="9" t="inlineStr">
        <is>
          <t>MAG-2627-008</t>
        </is>
      </c>
      <c r="B288" s="9" t="inlineStr">
        <is>
          <t>Hockey sur glace</t>
        </is>
      </c>
      <c r="C288" s="9" t="inlineStr">
        <is>
          <t>Ligue Magnus</t>
        </is>
      </c>
      <c r="D288" s="9" t="inlineStr">
        <is>
          <t>2026-2027</t>
        </is>
      </c>
      <c r="E288" s="9" t="inlineStr">
        <is>
          <t>Saison régulière</t>
        </is>
      </c>
      <c r="F288" s="9" t="n">
        <v>8</v>
      </c>
      <c r="G288" s="9" t="inlineStr">
        <is>
          <t>Ligue Magnus – Journée 8</t>
        </is>
      </c>
      <c r="H288" s="10" t="n">
        <v>46299</v>
      </c>
      <c r="I288" s="10" t="n">
        <v>46299</v>
      </c>
      <c r="J288" s="11" t="n"/>
      <c r="K288" s="9" t="inlineStr">
        <is>
          <t>Europe/Paris</t>
        </is>
      </c>
      <c r="L288" s="9" t="n"/>
      <c r="M288" s="9" t="inlineStr">
        <is>
          <t>France</t>
        </is>
      </c>
      <c r="N288" s="9" t="inlineStr">
        <is>
          <t>Hommes</t>
        </is>
      </c>
      <c r="O288" s="9" t="inlineStr">
        <is>
          <t>Officiel</t>
        </is>
      </c>
      <c r="P288" s="9" t="inlineStr">
        <is>
          <t>Oui</t>
        </is>
      </c>
      <c r="Q288" s="9" t="inlineStr">
        <is>
          <t>https://liguemagnus.com/2026/10/02/j7-j8-important-a-tous-les-niveaux/</t>
        </is>
      </c>
      <c r="R288" s="10" t="n">
        <v>46311</v>
      </c>
      <c r="S288" s="9" t="n"/>
      <c r="T288" s="9">
        <f>IF(H288="","",IF(MAX(H288,I288)&lt;TODAY(),"Terminé",IF(H288&lt;=TODAY(),"En cours","À venir")))</f>
        <v/>
      </c>
    </row>
    <row r="289">
      <c r="A289" s="9" t="inlineStr">
        <is>
          <t>MAG-2627-009</t>
        </is>
      </c>
      <c r="B289" s="9" t="inlineStr">
        <is>
          <t>Hockey sur glace</t>
        </is>
      </c>
      <c r="C289" s="9" t="inlineStr">
        <is>
          <t>Ligue Magnus</t>
        </is>
      </c>
      <c r="D289" s="9" t="inlineStr">
        <is>
          <t>2026-2027</t>
        </is>
      </c>
      <c r="E289" s="9" t="inlineStr">
        <is>
          <t>Saison régulière</t>
        </is>
      </c>
      <c r="F289" s="9" t="n">
        <v>9</v>
      </c>
      <c r="G289" s="9" t="inlineStr">
        <is>
          <t>Ligue Magnus – Journée 9</t>
        </is>
      </c>
      <c r="H289" s="10" t="n">
        <v>46304</v>
      </c>
      <c r="I289" s="10" t="n">
        <v>46305</v>
      </c>
      <c r="J289" s="11" t="n"/>
      <c r="K289" s="9" t="inlineStr">
        <is>
          <t>Europe/Paris</t>
        </is>
      </c>
      <c r="L289" s="9" t="n"/>
      <c r="M289" s="9" t="inlineStr">
        <is>
          <t>France</t>
        </is>
      </c>
      <c r="N289" s="9" t="inlineStr">
        <is>
          <t>Hommes</t>
        </is>
      </c>
      <c r="O289" s="9" t="inlineStr">
        <is>
          <t>Officiel</t>
        </is>
      </c>
      <c r="P289" s="9" t="inlineStr">
        <is>
          <t>Oui</t>
        </is>
      </c>
      <c r="Q289" s="9" t="inlineStr">
        <is>
          <t>https://liguemagnus.com/2026/10/08/j9-un-duel-de-finalistes/</t>
        </is>
      </c>
      <c r="R289" s="10" t="n">
        <v>46311</v>
      </c>
      <c r="S289" s="9" t="inlineStr">
        <is>
          <t>Bordeaux – Grenoble le samedi</t>
        </is>
      </c>
      <c r="T289" s="9">
        <f>IF(H289="","",IF(MAX(H289,I289)&lt;TODAY(),"Terminé",IF(H289&lt;=TODAY(),"En cours","À venir")))</f>
        <v/>
      </c>
    </row>
    <row r="290">
      <c r="A290" s="9" t="inlineStr">
        <is>
          <t>MAG-2627-010</t>
        </is>
      </c>
      <c r="B290" s="9" t="inlineStr">
        <is>
          <t>Hockey sur glace</t>
        </is>
      </c>
      <c r="C290" s="9" t="inlineStr">
        <is>
          <t>Ligue Magnus</t>
        </is>
      </c>
      <c r="D290" s="9" t="inlineStr">
        <is>
          <t>2026-2027</t>
        </is>
      </c>
      <c r="E290" s="9" t="inlineStr">
        <is>
          <t>Saison régulière</t>
        </is>
      </c>
      <c r="F290" s="9" t="n">
        <v>10</v>
      </c>
      <c r="G290" s="9" t="inlineStr">
        <is>
          <t>Ligue Magnus – Journée 10</t>
        </is>
      </c>
      <c r="H290" s="10" t="n">
        <v>46311</v>
      </c>
      <c r="I290" s="10" t="n">
        <v>46311</v>
      </c>
      <c r="J290" s="11" t="n"/>
      <c r="K290" s="9" t="inlineStr">
        <is>
          <t>Europe/Paris</t>
        </is>
      </c>
      <c r="L290" s="9" t="n"/>
      <c r="M290" s="9" t="inlineStr">
        <is>
          <t>France</t>
        </is>
      </c>
      <c r="N290" s="9" t="inlineStr">
        <is>
          <t>Hommes</t>
        </is>
      </c>
      <c r="O290" s="9" t="inlineStr">
        <is>
          <t>Provisoire</t>
        </is>
      </c>
      <c r="P290" s="9" t="inlineStr">
        <is>
          <t>Oui</t>
        </is>
      </c>
      <c r="Q290" s="9" t="inlineStr">
        <is>
          <t>https://www.francetvpro.fr/contenu-de-presse/78955320</t>
        </is>
      </c>
      <c r="R290" s="10" t="n">
        <v>46311</v>
      </c>
      <c r="S290" s="9" t="inlineStr">
        <is>
          <t>Date vérifiée via Cergy-Pontoise – Rouen uniquement ; matchs reportés possibles</t>
        </is>
      </c>
      <c r="T290" s="9">
        <f>IF(H290="","",IF(MAX(H290,I290)&lt;TODAY(),"Terminé",IF(H290&lt;=TODAY(),"En cours","À venir")))</f>
        <v/>
      </c>
    </row>
    <row r="291">
      <c r="A291" s="9" t="inlineStr">
        <is>
          <t>MAG-2627-011</t>
        </is>
      </c>
      <c r="B291" s="9" t="inlineStr">
        <is>
          <t>Hockey sur glace</t>
        </is>
      </c>
      <c r="C291" s="9" t="inlineStr">
        <is>
          <t>Ligue Magnus</t>
        </is>
      </c>
      <c r="D291" s="9" t="inlineStr">
        <is>
          <t>2026-2027</t>
        </is>
      </c>
      <c r="E291" s="9" t="inlineStr">
        <is>
          <t>Play-offs – Quarts</t>
        </is>
      </c>
      <c r="F291" s="9" t="n"/>
      <c r="G291" s="9" t="inlineStr">
        <is>
          <t>Ligue Magnus – Quarts de finale (best of 7)</t>
        </is>
      </c>
      <c r="H291" s="10" t="n">
        <v>46454</v>
      </c>
      <c r="I291" s="10" t="n">
        <v>46454</v>
      </c>
      <c r="J291" s="11" t="n"/>
      <c r="K291" s="9" t="inlineStr">
        <is>
          <t>Europe/Paris</t>
        </is>
      </c>
      <c r="L291" s="9" t="n"/>
      <c r="M291" s="9" t="inlineStr">
        <is>
          <t>France</t>
        </is>
      </c>
      <c r="N291" s="9" t="inlineStr">
        <is>
          <t>Hommes</t>
        </is>
      </c>
      <c r="O291" s="9" t="inlineStr">
        <is>
          <t>À confirmer</t>
        </is>
      </c>
      <c r="P291" s="9" t="inlineStr">
        <is>
          <t>Oui</t>
        </is>
      </c>
      <c r="Q291" s="9" t="inlineStr">
        <is>
          <t>https://liguemagnus.com/2026/06/16/le-calendrier-de-la-saison-2026-2027/</t>
        </is>
      </c>
      <c r="R291" s="10" t="n">
        <v>46311</v>
      </c>
      <c r="S291" s="9" t="inlineStr">
        <is>
          <t>Début des play-offs le 8 mars 2027 ; fin de série non publiée</t>
        </is>
      </c>
      <c r="T291" s="9">
        <f>IF(H291="","",IF(MAX(H291,I291)&lt;TODAY(),"Terminé",IF(H291&lt;=TODAY(),"En cours","À venir")))</f>
        <v/>
      </c>
    </row>
    <row r="292">
      <c r="A292" s="9" t="inlineStr">
        <is>
          <t>MAG-2627-012</t>
        </is>
      </c>
      <c r="B292" s="9" t="inlineStr">
        <is>
          <t>Hockey sur glace</t>
        </is>
      </c>
      <c r="C292" s="9" t="inlineStr">
        <is>
          <t>Ligue Magnus</t>
        </is>
      </c>
      <c r="D292" s="9" t="inlineStr">
        <is>
          <t>2026-2027</t>
        </is>
      </c>
      <c r="E292" s="9" t="inlineStr">
        <is>
          <t>Poule de maintien</t>
        </is>
      </c>
      <c r="F292" s="9" t="n"/>
      <c r="G292" s="9" t="inlineStr">
        <is>
          <t>Ligue Magnus – Poule de maintien</t>
        </is>
      </c>
      <c r="H292" s="10" t="n">
        <v>46455</v>
      </c>
      <c r="I292" s="10" t="n">
        <v>46479</v>
      </c>
      <c r="J292" s="11" t="n"/>
      <c r="K292" s="9" t="inlineStr">
        <is>
          <t>Europe/Paris</t>
        </is>
      </c>
      <c r="L292" s="9" t="n"/>
      <c r="M292" s="9" t="inlineStr">
        <is>
          <t>France</t>
        </is>
      </c>
      <c r="N292" s="9" t="inlineStr">
        <is>
          <t>Hommes</t>
        </is>
      </c>
      <c r="O292" s="9" t="inlineStr">
        <is>
          <t>Provisoire</t>
        </is>
      </c>
      <c r="P292" s="9" t="inlineStr">
        <is>
          <t>Oui</t>
        </is>
      </c>
      <c r="Q292" s="9" t="inlineStr">
        <is>
          <t>https://liguemagnus.com/2026/06/16/le-calendrier-de-la-saison-2026-2027/</t>
        </is>
      </c>
      <c r="R292" s="10" t="n">
        <v>46311</v>
      </c>
      <c r="S292" s="9" t="inlineStr">
        <is>
          <t>Dates de fenêtre annoncées par la ligue</t>
        </is>
      </c>
      <c r="T292" s="9">
        <f>IF(H292="","",IF(MAX(H292,I292)&lt;TODAY(),"Terminé",IF(H292&lt;=TODAY(),"En cours","À venir")))</f>
        <v/>
      </c>
    </row>
    <row r="293">
      <c r="A293" s="9" t="inlineStr">
        <is>
          <t>MAG-2627-013</t>
        </is>
      </c>
      <c r="B293" s="9" t="inlineStr">
        <is>
          <t>Hockey sur glace</t>
        </is>
      </c>
      <c r="C293" s="9" t="inlineStr">
        <is>
          <t>Ligue Magnus</t>
        </is>
      </c>
      <c r="D293" s="9" t="inlineStr">
        <is>
          <t>2026-2027</t>
        </is>
      </c>
      <c r="E293" s="9" t="inlineStr">
        <is>
          <t>Play-offs – Demi-finales</t>
        </is>
      </c>
      <c r="F293" s="9" t="n"/>
      <c r="G293" s="9" t="inlineStr">
        <is>
          <t>Ligue Magnus – Demi-finales (best of 7)</t>
        </is>
      </c>
      <c r="H293" s="10" t="n"/>
      <c r="I293" s="10" t="n"/>
      <c r="J293" s="11" t="n"/>
      <c r="K293" s="9" t="inlineStr">
        <is>
          <t>Europe/Paris</t>
        </is>
      </c>
      <c r="L293" s="9" t="n"/>
      <c r="M293" s="9" t="inlineStr">
        <is>
          <t>France</t>
        </is>
      </c>
      <c r="N293" s="9" t="inlineStr">
        <is>
          <t>Hommes</t>
        </is>
      </c>
      <c r="O293" s="9" t="inlineStr">
        <is>
          <t>À confirmer</t>
        </is>
      </c>
      <c r="P293" s="9" t="inlineStr">
        <is>
          <t>Oui</t>
        </is>
      </c>
      <c r="Q293" s="9" t="inlineStr">
        <is>
          <t>https://liguemagnus.com/2026/06/16/le-calendrier-de-la-saison-2026-2027/</t>
        </is>
      </c>
      <c r="R293" s="10" t="n">
        <v>46311</v>
      </c>
      <c r="S293" s="9" t="inlineStr">
        <is>
          <t>Dates non publiées</t>
        </is>
      </c>
      <c r="T293" s="9">
        <f>IF(H293="","",IF(MAX(H293,I293)&lt;TODAY(),"Terminé",IF(H293&lt;=TODAY(),"En cours","À venir")))</f>
        <v/>
      </c>
    </row>
    <row r="294">
      <c r="A294" s="9" t="inlineStr">
        <is>
          <t>MAG-2627-014</t>
        </is>
      </c>
      <c r="B294" s="9" t="inlineStr">
        <is>
          <t>Hockey sur glace</t>
        </is>
      </c>
      <c r="C294" s="9" t="inlineStr">
        <is>
          <t>Ligue Magnus</t>
        </is>
      </c>
      <c r="D294" s="9" t="inlineStr">
        <is>
          <t>2026-2027</t>
        </is>
      </c>
      <c r="E294" s="9" t="inlineStr">
        <is>
          <t>Play-offs – Finale</t>
        </is>
      </c>
      <c r="F294" s="9" t="n"/>
      <c r="G294" s="9" t="inlineStr">
        <is>
          <t>Ligue Magnus – Finale (best of 7)</t>
        </is>
      </c>
      <c r="H294" s="10" t="n"/>
      <c r="I294" s="10" t="n">
        <v>46494</v>
      </c>
      <c r="J294" s="11" t="n"/>
      <c r="K294" s="9" t="inlineStr">
        <is>
          <t>Europe/Paris</t>
        </is>
      </c>
      <c r="L294" s="9" t="n"/>
      <c r="M294" s="9" t="inlineStr">
        <is>
          <t>France</t>
        </is>
      </c>
      <c r="N294" s="9" t="inlineStr">
        <is>
          <t>Hommes</t>
        </is>
      </c>
      <c r="O294" s="9" t="inlineStr">
        <is>
          <t>À confirmer</t>
        </is>
      </c>
      <c r="P294" s="9" t="inlineStr">
        <is>
          <t>Oui</t>
        </is>
      </c>
      <c r="Q294" s="9" t="inlineStr">
        <is>
          <t>https://liguemagnus.com/2026/06/16/le-calendrier-de-la-saison-2026-2027/</t>
        </is>
      </c>
      <c r="R294" s="10" t="n">
        <v>46311</v>
      </c>
      <c r="S294" s="9" t="inlineStr">
        <is>
          <t>Fin des play-offs annoncée le 17 avril 2027 ; début de série non publié</t>
        </is>
      </c>
      <c r="T294" s="9">
        <f>IF(H294="","",IF(MAX(H294,I294)&lt;TODAY(),"Terminé",IF(H294&lt;=TODAY(),"En cours","À venir")))</f>
        <v/>
      </c>
    </row>
    <row r="295">
      <c r="A295" s="9" t="inlineStr">
        <is>
          <t>MAG-2627-015</t>
        </is>
      </c>
      <c r="B295" s="9" t="inlineStr">
        <is>
          <t>Hockey sur glace</t>
        </is>
      </c>
      <c r="C295" s="9" t="inlineStr">
        <is>
          <t>Ligue Magnus</t>
        </is>
      </c>
      <c r="D295" s="9" t="inlineStr">
        <is>
          <t>2026-2027</t>
        </is>
      </c>
      <c r="E295" s="9" t="inlineStr">
        <is>
          <t>Saison régulière</t>
        </is>
      </c>
      <c r="F295" s="9" t="n">
        <v>11</v>
      </c>
      <c r="G295" s="9" t="inlineStr">
        <is>
          <t>Ligue Magnus – Journée 11</t>
        </is>
      </c>
      <c r="H295" s="10" t="n"/>
      <c r="I295" s="10" t="n"/>
      <c r="J295" s="11" t="n"/>
      <c r="K295" s="9" t="inlineStr">
        <is>
          <t>Europe/Paris</t>
        </is>
      </c>
      <c r="L295" s="9" t="n"/>
      <c r="M295" s="9" t="inlineStr">
        <is>
          <t>France</t>
        </is>
      </c>
      <c r="N295" s="9" t="inlineStr">
        <is>
          <t>Hommes</t>
        </is>
      </c>
      <c r="O295" s="9" t="inlineStr">
        <is>
          <t>À confirmer</t>
        </is>
      </c>
      <c r="P295" s="9" t="inlineStr">
        <is>
          <t>Oui</t>
        </is>
      </c>
      <c r="Q295" s="9" t="inlineStr">
        <is>
          <t>https://liguemagnus.com/calendrier-resultats/</t>
        </is>
      </c>
      <c r="R295" s="10" t="n">
        <v>46311</v>
      </c>
      <c r="S295" s="9" t="inlineStr">
        <is>
          <t>Date non vérifiée (calendrier officiel non consultable) ; saison régulière jusqu'au 2027-03-02</t>
        </is>
      </c>
      <c r="T295" s="9">
        <f>IF(H295="","",IF(MAX(H295,I295)&lt;TODAY(),"Terminé",IF(H295&lt;=TODAY(),"En cours","À venir")))</f>
        <v/>
      </c>
    </row>
    <row r="296">
      <c r="A296" s="9" t="inlineStr">
        <is>
          <t>MAG-2627-016</t>
        </is>
      </c>
      <c r="B296" s="9" t="inlineStr">
        <is>
          <t>Hockey sur glace</t>
        </is>
      </c>
      <c r="C296" s="9" t="inlineStr">
        <is>
          <t>Ligue Magnus</t>
        </is>
      </c>
      <c r="D296" s="9" t="inlineStr">
        <is>
          <t>2026-2027</t>
        </is>
      </c>
      <c r="E296" s="9" t="inlineStr">
        <is>
          <t>Saison régulière</t>
        </is>
      </c>
      <c r="F296" s="9" t="n">
        <v>12</v>
      </c>
      <c r="G296" s="9" t="inlineStr">
        <is>
          <t>Ligue Magnus – Journée 12</t>
        </is>
      </c>
      <c r="H296" s="10" t="n"/>
      <c r="I296" s="10" t="n"/>
      <c r="J296" s="11" t="n"/>
      <c r="K296" s="9" t="inlineStr">
        <is>
          <t>Europe/Paris</t>
        </is>
      </c>
      <c r="L296" s="9" t="n"/>
      <c r="M296" s="9" t="inlineStr">
        <is>
          <t>France</t>
        </is>
      </c>
      <c r="N296" s="9" t="inlineStr">
        <is>
          <t>Hommes</t>
        </is>
      </c>
      <c r="O296" s="9" t="inlineStr">
        <is>
          <t>À confirmer</t>
        </is>
      </c>
      <c r="P296" s="9" t="inlineStr">
        <is>
          <t>Oui</t>
        </is>
      </c>
      <c r="Q296" s="9" t="inlineStr">
        <is>
          <t>https://liguemagnus.com/calendrier-resultats/</t>
        </is>
      </c>
      <c r="R296" s="10" t="n">
        <v>46311</v>
      </c>
      <c r="S296" s="9" t="inlineStr">
        <is>
          <t>Date non vérifiée (calendrier officiel non consultable) ; saison régulière jusqu'au 2027-03-02</t>
        </is>
      </c>
      <c r="T296" s="9">
        <f>IF(H296="","",IF(MAX(H296,I296)&lt;TODAY(),"Terminé",IF(H296&lt;=TODAY(),"En cours","À venir")))</f>
        <v/>
      </c>
    </row>
    <row r="297">
      <c r="A297" s="9" t="inlineStr">
        <is>
          <t>MAG-2627-017</t>
        </is>
      </c>
      <c r="B297" s="9" t="inlineStr">
        <is>
          <t>Hockey sur glace</t>
        </is>
      </c>
      <c r="C297" s="9" t="inlineStr">
        <is>
          <t>Ligue Magnus</t>
        </is>
      </c>
      <c r="D297" s="9" t="inlineStr">
        <is>
          <t>2026-2027</t>
        </is>
      </c>
      <c r="E297" s="9" t="inlineStr">
        <is>
          <t>Saison régulière</t>
        </is>
      </c>
      <c r="F297" s="9" t="n">
        <v>13</v>
      </c>
      <c r="G297" s="9" t="inlineStr">
        <is>
          <t>Ligue Magnus – Journée 13</t>
        </is>
      </c>
      <c r="H297" s="10" t="n"/>
      <c r="I297" s="10" t="n"/>
      <c r="J297" s="11" t="n"/>
      <c r="K297" s="9" t="inlineStr">
        <is>
          <t>Europe/Paris</t>
        </is>
      </c>
      <c r="L297" s="9" t="n"/>
      <c r="M297" s="9" t="inlineStr">
        <is>
          <t>France</t>
        </is>
      </c>
      <c r="N297" s="9" t="inlineStr">
        <is>
          <t>Hommes</t>
        </is>
      </c>
      <c r="O297" s="9" t="inlineStr">
        <is>
          <t>À confirmer</t>
        </is>
      </c>
      <c r="P297" s="9" t="inlineStr">
        <is>
          <t>Oui</t>
        </is>
      </c>
      <c r="Q297" s="9" t="inlineStr">
        <is>
          <t>https://liguemagnus.com/calendrier-resultats/</t>
        </is>
      </c>
      <c r="R297" s="10" t="n">
        <v>46311</v>
      </c>
      <c r="S297" s="9" t="inlineStr">
        <is>
          <t>Date non vérifiée (calendrier officiel non consultable) ; saison régulière jusqu'au 2027-03-02</t>
        </is>
      </c>
      <c r="T297" s="9">
        <f>IF(H297="","",IF(MAX(H297,I297)&lt;TODAY(),"Terminé",IF(H297&lt;=TODAY(),"En cours","À venir")))</f>
        <v/>
      </c>
    </row>
    <row r="298">
      <c r="A298" s="9" t="inlineStr">
        <is>
          <t>MAG-2627-018</t>
        </is>
      </c>
      <c r="B298" s="9" t="inlineStr">
        <is>
          <t>Hockey sur glace</t>
        </is>
      </c>
      <c r="C298" s="9" t="inlineStr">
        <is>
          <t>Ligue Magnus</t>
        </is>
      </c>
      <c r="D298" s="9" t="inlineStr">
        <is>
          <t>2026-2027</t>
        </is>
      </c>
      <c r="E298" s="9" t="inlineStr">
        <is>
          <t>Saison régulière</t>
        </is>
      </c>
      <c r="F298" s="9" t="n">
        <v>14</v>
      </c>
      <c r="G298" s="9" t="inlineStr">
        <is>
          <t>Ligue Magnus – Journée 14</t>
        </is>
      </c>
      <c r="H298" s="10" t="n"/>
      <c r="I298" s="10" t="n"/>
      <c r="J298" s="11" t="n"/>
      <c r="K298" s="9" t="inlineStr">
        <is>
          <t>Europe/Paris</t>
        </is>
      </c>
      <c r="L298" s="9" t="n"/>
      <c r="M298" s="9" t="inlineStr">
        <is>
          <t>France</t>
        </is>
      </c>
      <c r="N298" s="9" t="inlineStr">
        <is>
          <t>Hommes</t>
        </is>
      </c>
      <c r="O298" s="9" t="inlineStr">
        <is>
          <t>À confirmer</t>
        </is>
      </c>
      <c r="P298" s="9" t="inlineStr">
        <is>
          <t>Oui</t>
        </is>
      </c>
      <c r="Q298" s="9" t="inlineStr">
        <is>
          <t>https://liguemagnus.com/calendrier-resultats/</t>
        </is>
      </c>
      <c r="R298" s="10" t="n">
        <v>46311</v>
      </c>
      <c r="S298" s="9" t="inlineStr">
        <is>
          <t>Date non vérifiée (calendrier officiel non consultable) ; saison régulière jusqu'au 2027-03-02</t>
        </is>
      </c>
      <c r="T298" s="9">
        <f>IF(H298="","",IF(MAX(H298,I298)&lt;TODAY(),"Terminé",IF(H298&lt;=TODAY(),"En cours","À venir")))</f>
        <v/>
      </c>
    </row>
    <row r="299">
      <c r="A299" s="9" t="inlineStr">
        <is>
          <t>MAG-2627-019</t>
        </is>
      </c>
      <c r="B299" s="9" t="inlineStr">
        <is>
          <t>Hockey sur glace</t>
        </is>
      </c>
      <c r="C299" s="9" t="inlineStr">
        <is>
          <t>Ligue Magnus</t>
        </is>
      </c>
      <c r="D299" s="9" t="inlineStr">
        <is>
          <t>2026-2027</t>
        </is>
      </c>
      <c r="E299" s="9" t="inlineStr">
        <is>
          <t>Saison régulière</t>
        </is>
      </c>
      <c r="F299" s="9" t="n">
        <v>15</v>
      </c>
      <c r="G299" s="9" t="inlineStr">
        <is>
          <t>Ligue Magnus – Journée 15</t>
        </is>
      </c>
      <c r="H299" s="10" t="n"/>
      <c r="I299" s="10" t="n"/>
      <c r="J299" s="11" t="n"/>
      <c r="K299" s="9" t="inlineStr">
        <is>
          <t>Europe/Paris</t>
        </is>
      </c>
      <c r="L299" s="9" t="n"/>
      <c r="M299" s="9" t="inlineStr">
        <is>
          <t>France</t>
        </is>
      </c>
      <c r="N299" s="9" t="inlineStr">
        <is>
          <t>Hommes</t>
        </is>
      </c>
      <c r="O299" s="9" t="inlineStr">
        <is>
          <t>À confirmer</t>
        </is>
      </c>
      <c r="P299" s="9" t="inlineStr">
        <is>
          <t>Oui</t>
        </is>
      </c>
      <c r="Q299" s="9" t="inlineStr">
        <is>
          <t>https://liguemagnus.com/calendrier-resultats/</t>
        </is>
      </c>
      <c r="R299" s="10" t="n">
        <v>46311</v>
      </c>
      <c r="S299" s="9" t="inlineStr">
        <is>
          <t>Date non vérifiée (calendrier officiel non consultable) ; saison régulière jusqu'au 2027-03-02</t>
        </is>
      </c>
      <c r="T299" s="9">
        <f>IF(H299="","",IF(MAX(H299,I299)&lt;TODAY(),"Terminé",IF(H299&lt;=TODAY(),"En cours","À venir")))</f>
        <v/>
      </c>
    </row>
    <row r="300">
      <c r="A300" s="9" t="inlineStr">
        <is>
          <t>MAG-2627-020</t>
        </is>
      </c>
      <c r="B300" s="9" t="inlineStr">
        <is>
          <t>Hockey sur glace</t>
        </is>
      </c>
      <c r="C300" s="9" t="inlineStr">
        <is>
          <t>Ligue Magnus</t>
        </is>
      </c>
      <c r="D300" s="9" t="inlineStr">
        <is>
          <t>2026-2027</t>
        </is>
      </c>
      <c r="E300" s="9" t="inlineStr">
        <is>
          <t>Saison régulière</t>
        </is>
      </c>
      <c r="F300" s="9" t="n">
        <v>16</v>
      </c>
      <c r="G300" s="9" t="inlineStr">
        <is>
          <t>Ligue Magnus – Journée 16</t>
        </is>
      </c>
      <c r="H300" s="10" t="n"/>
      <c r="I300" s="10" t="n"/>
      <c r="J300" s="11" t="n"/>
      <c r="K300" s="9" t="inlineStr">
        <is>
          <t>Europe/Paris</t>
        </is>
      </c>
      <c r="L300" s="9" t="n"/>
      <c r="M300" s="9" t="inlineStr">
        <is>
          <t>France</t>
        </is>
      </c>
      <c r="N300" s="9" t="inlineStr">
        <is>
          <t>Hommes</t>
        </is>
      </c>
      <c r="O300" s="9" t="inlineStr">
        <is>
          <t>À confirmer</t>
        </is>
      </c>
      <c r="P300" s="9" t="inlineStr">
        <is>
          <t>Oui</t>
        </is>
      </c>
      <c r="Q300" s="9" t="inlineStr">
        <is>
          <t>https://liguemagnus.com/calendrier-resultats/</t>
        </is>
      </c>
      <c r="R300" s="10" t="n">
        <v>46311</v>
      </c>
      <c r="S300" s="9" t="inlineStr">
        <is>
          <t>Date non vérifiée (calendrier officiel non consultable) ; saison régulière jusqu'au 2027-03-02</t>
        </is>
      </c>
      <c r="T300" s="9">
        <f>IF(H300="","",IF(MAX(H300,I300)&lt;TODAY(),"Terminé",IF(H300&lt;=TODAY(),"En cours","À venir")))</f>
        <v/>
      </c>
    </row>
    <row r="301">
      <c r="A301" s="9" t="inlineStr">
        <is>
          <t>MAG-2627-021</t>
        </is>
      </c>
      <c r="B301" s="9" t="inlineStr">
        <is>
          <t>Hockey sur glace</t>
        </is>
      </c>
      <c r="C301" s="9" t="inlineStr">
        <is>
          <t>Ligue Magnus</t>
        </is>
      </c>
      <c r="D301" s="9" t="inlineStr">
        <is>
          <t>2026-2027</t>
        </is>
      </c>
      <c r="E301" s="9" t="inlineStr">
        <is>
          <t>Saison régulière</t>
        </is>
      </c>
      <c r="F301" s="9" t="n">
        <v>17</v>
      </c>
      <c r="G301" s="9" t="inlineStr">
        <is>
          <t>Ligue Magnus – Journée 17</t>
        </is>
      </c>
      <c r="H301" s="10" t="n"/>
      <c r="I301" s="10" t="n"/>
      <c r="J301" s="11" t="n"/>
      <c r="K301" s="9" t="inlineStr">
        <is>
          <t>Europe/Paris</t>
        </is>
      </c>
      <c r="L301" s="9" t="n"/>
      <c r="M301" s="9" t="inlineStr">
        <is>
          <t>France</t>
        </is>
      </c>
      <c r="N301" s="9" t="inlineStr">
        <is>
          <t>Hommes</t>
        </is>
      </c>
      <c r="O301" s="9" t="inlineStr">
        <is>
          <t>À confirmer</t>
        </is>
      </c>
      <c r="P301" s="9" t="inlineStr">
        <is>
          <t>Oui</t>
        </is>
      </c>
      <c r="Q301" s="9" t="inlineStr">
        <is>
          <t>https://liguemagnus.com/calendrier-resultats/</t>
        </is>
      </c>
      <c r="R301" s="10" t="n">
        <v>46311</v>
      </c>
      <c r="S301" s="9" t="inlineStr">
        <is>
          <t>Date non vérifiée (calendrier officiel non consultable) ; saison régulière jusqu'au 2027-03-02</t>
        </is>
      </c>
      <c r="T301" s="9">
        <f>IF(H301="","",IF(MAX(H301,I301)&lt;TODAY(),"Terminé",IF(H301&lt;=TODAY(),"En cours","À venir")))</f>
        <v/>
      </c>
    </row>
    <row r="302">
      <c r="A302" s="9" t="inlineStr">
        <is>
          <t>MAG-2627-022</t>
        </is>
      </c>
      <c r="B302" s="9" t="inlineStr">
        <is>
          <t>Hockey sur glace</t>
        </is>
      </c>
      <c r="C302" s="9" t="inlineStr">
        <is>
          <t>Ligue Magnus</t>
        </is>
      </c>
      <c r="D302" s="9" t="inlineStr">
        <is>
          <t>2026-2027</t>
        </is>
      </c>
      <c r="E302" s="9" t="inlineStr">
        <is>
          <t>Saison régulière</t>
        </is>
      </c>
      <c r="F302" s="9" t="n">
        <v>18</v>
      </c>
      <c r="G302" s="9" t="inlineStr">
        <is>
          <t>Ligue Magnus – Journée 18</t>
        </is>
      </c>
      <c r="H302" s="10" t="n"/>
      <c r="I302" s="10" t="n"/>
      <c r="J302" s="11" t="n"/>
      <c r="K302" s="9" t="inlineStr">
        <is>
          <t>Europe/Paris</t>
        </is>
      </c>
      <c r="L302" s="9" t="n"/>
      <c r="M302" s="9" t="inlineStr">
        <is>
          <t>France</t>
        </is>
      </c>
      <c r="N302" s="9" t="inlineStr">
        <is>
          <t>Hommes</t>
        </is>
      </c>
      <c r="O302" s="9" t="inlineStr">
        <is>
          <t>À confirmer</t>
        </is>
      </c>
      <c r="P302" s="9" t="inlineStr">
        <is>
          <t>Oui</t>
        </is>
      </c>
      <c r="Q302" s="9" t="inlineStr">
        <is>
          <t>https://liguemagnus.com/calendrier-resultats/</t>
        </is>
      </c>
      <c r="R302" s="10" t="n">
        <v>46311</v>
      </c>
      <c r="S302" s="9" t="inlineStr">
        <is>
          <t>Date non vérifiée (calendrier officiel non consultable) ; saison régulière jusqu'au 2027-03-02</t>
        </is>
      </c>
      <c r="T302" s="9">
        <f>IF(H302="","",IF(MAX(H302,I302)&lt;TODAY(),"Terminé",IF(H302&lt;=TODAY(),"En cours","À venir")))</f>
        <v/>
      </c>
    </row>
    <row r="303">
      <c r="A303" s="9" t="inlineStr">
        <is>
          <t>MAG-2627-023</t>
        </is>
      </c>
      <c r="B303" s="9" t="inlineStr">
        <is>
          <t>Hockey sur glace</t>
        </is>
      </c>
      <c r="C303" s="9" t="inlineStr">
        <is>
          <t>Ligue Magnus</t>
        </is>
      </c>
      <c r="D303" s="9" t="inlineStr">
        <is>
          <t>2026-2027</t>
        </is>
      </c>
      <c r="E303" s="9" t="inlineStr">
        <is>
          <t>Saison régulière</t>
        </is>
      </c>
      <c r="F303" s="9" t="n">
        <v>19</v>
      </c>
      <c r="G303" s="9" t="inlineStr">
        <is>
          <t>Ligue Magnus – Journée 19</t>
        </is>
      </c>
      <c r="H303" s="10" t="n"/>
      <c r="I303" s="10" t="n"/>
      <c r="J303" s="11" t="n"/>
      <c r="K303" s="9" t="inlineStr">
        <is>
          <t>Europe/Paris</t>
        </is>
      </c>
      <c r="L303" s="9" t="n"/>
      <c r="M303" s="9" t="inlineStr">
        <is>
          <t>France</t>
        </is>
      </c>
      <c r="N303" s="9" t="inlineStr">
        <is>
          <t>Hommes</t>
        </is>
      </c>
      <c r="O303" s="9" t="inlineStr">
        <is>
          <t>À confirmer</t>
        </is>
      </c>
      <c r="P303" s="9" t="inlineStr">
        <is>
          <t>Oui</t>
        </is>
      </c>
      <c r="Q303" s="9" t="inlineStr">
        <is>
          <t>https://liguemagnus.com/calendrier-resultats/</t>
        </is>
      </c>
      <c r="R303" s="10" t="n">
        <v>46311</v>
      </c>
      <c r="S303" s="9" t="inlineStr">
        <is>
          <t>Date non vérifiée (calendrier officiel non consultable) ; saison régulière jusqu'au 2027-03-02</t>
        </is>
      </c>
      <c r="T303" s="9">
        <f>IF(H303="","",IF(MAX(H303,I303)&lt;TODAY(),"Terminé",IF(H303&lt;=TODAY(),"En cours","À venir")))</f>
        <v/>
      </c>
    </row>
    <row r="304">
      <c r="A304" s="9" t="inlineStr">
        <is>
          <t>MAG-2627-024</t>
        </is>
      </c>
      <c r="B304" s="9" t="inlineStr">
        <is>
          <t>Hockey sur glace</t>
        </is>
      </c>
      <c r="C304" s="9" t="inlineStr">
        <is>
          <t>Ligue Magnus</t>
        </is>
      </c>
      <c r="D304" s="9" t="inlineStr">
        <is>
          <t>2026-2027</t>
        </is>
      </c>
      <c r="E304" s="9" t="inlineStr">
        <is>
          <t>Saison régulière</t>
        </is>
      </c>
      <c r="F304" s="9" t="n">
        <v>20</v>
      </c>
      <c r="G304" s="9" t="inlineStr">
        <is>
          <t>Ligue Magnus – Journée 20</t>
        </is>
      </c>
      <c r="H304" s="10" t="n"/>
      <c r="I304" s="10" t="n"/>
      <c r="J304" s="11" t="n"/>
      <c r="K304" s="9" t="inlineStr">
        <is>
          <t>Europe/Paris</t>
        </is>
      </c>
      <c r="L304" s="9" t="n"/>
      <c r="M304" s="9" t="inlineStr">
        <is>
          <t>France</t>
        </is>
      </c>
      <c r="N304" s="9" t="inlineStr">
        <is>
          <t>Hommes</t>
        </is>
      </c>
      <c r="O304" s="9" t="inlineStr">
        <is>
          <t>À confirmer</t>
        </is>
      </c>
      <c r="P304" s="9" t="inlineStr">
        <is>
          <t>Oui</t>
        </is>
      </c>
      <c r="Q304" s="9" t="inlineStr">
        <is>
          <t>https://liguemagnus.com/calendrier-resultats/</t>
        </is>
      </c>
      <c r="R304" s="10" t="n">
        <v>46311</v>
      </c>
      <c r="S304" s="9" t="inlineStr">
        <is>
          <t>Date non vérifiée (calendrier officiel non consultable) ; saison régulière jusqu'au 2027-03-02</t>
        </is>
      </c>
      <c r="T304" s="9">
        <f>IF(H304="","",IF(MAX(H304,I304)&lt;TODAY(),"Terminé",IF(H304&lt;=TODAY(),"En cours","À venir")))</f>
        <v/>
      </c>
    </row>
    <row r="305">
      <c r="A305" s="9" t="inlineStr">
        <is>
          <t>MAG-2627-025</t>
        </is>
      </c>
      <c r="B305" s="9" t="inlineStr">
        <is>
          <t>Hockey sur glace</t>
        </is>
      </c>
      <c r="C305" s="9" t="inlineStr">
        <is>
          <t>Ligue Magnus</t>
        </is>
      </c>
      <c r="D305" s="9" t="inlineStr">
        <is>
          <t>2026-2027</t>
        </is>
      </c>
      <c r="E305" s="9" t="inlineStr">
        <is>
          <t>Saison régulière</t>
        </is>
      </c>
      <c r="F305" s="9" t="n">
        <v>21</v>
      </c>
      <c r="G305" s="9" t="inlineStr">
        <is>
          <t>Ligue Magnus – Journée 21</t>
        </is>
      </c>
      <c r="H305" s="10" t="n"/>
      <c r="I305" s="10" t="n"/>
      <c r="J305" s="11" t="n"/>
      <c r="K305" s="9" t="inlineStr">
        <is>
          <t>Europe/Paris</t>
        </is>
      </c>
      <c r="L305" s="9" t="n"/>
      <c r="M305" s="9" t="inlineStr">
        <is>
          <t>France</t>
        </is>
      </c>
      <c r="N305" s="9" t="inlineStr">
        <is>
          <t>Hommes</t>
        </is>
      </c>
      <c r="O305" s="9" t="inlineStr">
        <is>
          <t>À confirmer</t>
        </is>
      </c>
      <c r="P305" s="9" t="inlineStr">
        <is>
          <t>Oui</t>
        </is>
      </c>
      <c r="Q305" s="9" t="inlineStr">
        <is>
          <t>https://liguemagnus.com/calendrier-resultats/</t>
        </is>
      </c>
      <c r="R305" s="10" t="n">
        <v>46311</v>
      </c>
      <c r="S305" s="9" t="inlineStr">
        <is>
          <t>Date non vérifiée (calendrier officiel non consultable) ; saison régulière jusqu'au 2027-03-02</t>
        </is>
      </c>
      <c r="T305" s="9">
        <f>IF(H305="","",IF(MAX(H305,I305)&lt;TODAY(),"Terminé",IF(H305&lt;=TODAY(),"En cours","À venir")))</f>
        <v/>
      </c>
    </row>
    <row r="306">
      <c r="A306" s="9" t="inlineStr">
        <is>
          <t>MAG-2627-026</t>
        </is>
      </c>
      <c r="B306" s="9" t="inlineStr">
        <is>
          <t>Hockey sur glace</t>
        </is>
      </c>
      <c r="C306" s="9" t="inlineStr">
        <is>
          <t>Ligue Magnus</t>
        </is>
      </c>
      <c r="D306" s="9" t="inlineStr">
        <is>
          <t>2026-2027</t>
        </is>
      </c>
      <c r="E306" s="9" t="inlineStr">
        <is>
          <t>Saison régulière</t>
        </is>
      </c>
      <c r="F306" s="9" t="n">
        <v>22</v>
      </c>
      <c r="G306" s="9" t="inlineStr">
        <is>
          <t>Ligue Magnus – Journée 22</t>
        </is>
      </c>
      <c r="H306" s="10" t="n"/>
      <c r="I306" s="10" t="n"/>
      <c r="J306" s="11" t="n"/>
      <c r="K306" s="9" t="inlineStr">
        <is>
          <t>Europe/Paris</t>
        </is>
      </c>
      <c r="L306" s="9" t="n"/>
      <c r="M306" s="9" t="inlineStr">
        <is>
          <t>France</t>
        </is>
      </c>
      <c r="N306" s="9" t="inlineStr">
        <is>
          <t>Hommes</t>
        </is>
      </c>
      <c r="O306" s="9" t="inlineStr">
        <is>
          <t>À confirmer</t>
        </is>
      </c>
      <c r="P306" s="9" t="inlineStr">
        <is>
          <t>Oui</t>
        </is>
      </c>
      <c r="Q306" s="9" t="inlineStr">
        <is>
          <t>https://liguemagnus.com/calendrier-resultats/</t>
        </is>
      </c>
      <c r="R306" s="10" t="n">
        <v>46311</v>
      </c>
      <c r="S306" s="9" t="inlineStr">
        <is>
          <t>Date non vérifiée (calendrier officiel non consultable) ; saison régulière jusqu'au 2027-03-02</t>
        </is>
      </c>
      <c r="T306" s="9">
        <f>IF(H306="","",IF(MAX(H306,I306)&lt;TODAY(),"Terminé",IF(H306&lt;=TODAY(),"En cours","À venir")))</f>
        <v/>
      </c>
    </row>
    <row r="307">
      <c r="A307" s="9" t="inlineStr">
        <is>
          <t>MAG-2627-027</t>
        </is>
      </c>
      <c r="B307" s="9" t="inlineStr">
        <is>
          <t>Hockey sur glace</t>
        </is>
      </c>
      <c r="C307" s="9" t="inlineStr">
        <is>
          <t>Ligue Magnus</t>
        </is>
      </c>
      <c r="D307" s="9" t="inlineStr">
        <is>
          <t>2026-2027</t>
        </is>
      </c>
      <c r="E307" s="9" t="inlineStr">
        <is>
          <t>Saison régulière</t>
        </is>
      </c>
      <c r="F307" s="9" t="n">
        <v>23</v>
      </c>
      <c r="G307" s="9" t="inlineStr">
        <is>
          <t>Ligue Magnus – Journée 23</t>
        </is>
      </c>
      <c r="H307" s="10" t="n"/>
      <c r="I307" s="10" t="n"/>
      <c r="J307" s="11" t="n"/>
      <c r="K307" s="9" t="inlineStr">
        <is>
          <t>Europe/Paris</t>
        </is>
      </c>
      <c r="L307" s="9" t="n"/>
      <c r="M307" s="9" t="inlineStr">
        <is>
          <t>France</t>
        </is>
      </c>
      <c r="N307" s="9" t="inlineStr">
        <is>
          <t>Hommes</t>
        </is>
      </c>
      <c r="O307" s="9" t="inlineStr">
        <is>
          <t>À confirmer</t>
        </is>
      </c>
      <c r="P307" s="9" t="inlineStr">
        <is>
          <t>Oui</t>
        </is>
      </c>
      <c r="Q307" s="9" t="inlineStr">
        <is>
          <t>https://liguemagnus.com/calendrier-resultats/</t>
        </is>
      </c>
      <c r="R307" s="10" t="n">
        <v>46311</v>
      </c>
      <c r="S307" s="9" t="inlineStr">
        <is>
          <t>Date non vérifiée (calendrier officiel non consultable) ; saison régulière jusqu'au 2027-03-02</t>
        </is>
      </c>
      <c r="T307" s="9">
        <f>IF(H307="","",IF(MAX(H307,I307)&lt;TODAY(),"Terminé",IF(H307&lt;=TODAY(),"En cours","À venir")))</f>
        <v/>
      </c>
    </row>
    <row r="308">
      <c r="A308" s="9" t="inlineStr">
        <is>
          <t>MAG-2627-028</t>
        </is>
      </c>
      <c r="B308" s="9" t="inlineStr">
        <is>
          <t>Hockey sur glace</t>
        </is>
      </c>
      <c r="C308" s="9" t="inlineStr">
        <is>
          <t>Ligue Magnus</t>
        </is>
      </c>
      <c r="D308" s="9" t="inlineStr">
        <is>
          <t>2026-2027</t>
        </is>
      </c>
      <c r="E308" s="9" t="inlineStr">
        <is>
          <t>Saison régulière</t>
        </is>
      </c>
      <c r="F308" s="9" t="n">
        <v>24</v>
      </c>
      <c r="G308" s="9" t="inlineStr">
        <is>
          <t>Ligue Magnus – Journée 24</t>
        </is>
      </c>
      <c r="H308" s="10" t="n"/>
      <c r="I308" s="10" t="n"/>
      <c r="J308" s="11" t="n"/>
      <c r="K308" s="9" t="inlineStr">
        <is>
          <t>Europe/Paris</t>
        </is>
      </c>
      <c r="L308" s="9" t="n"/>
      <c r="M308" s="9" t="inlineStr">
        <is>
          <t>France</t>
        </is>
      </c>
      <c r="N308" s="9" t="inlineStr">
        <is>
          <t>Hommes</t>
        </is>
      </c>
      <c r="O308" s="9" t="inlineStr">
        <is>
          <t>À confirmer</t>
        </is>
      </c>
      <c r="P308" s="9" t="inlineStr">
        <is>
          <t>Oui</t>
        </is>
      </c>
      <c r="Q308" s="9" t="inlineStr">
        <is>
          <t>https://liguemagnus.com/calendrier-resultats/</t>
        </is>
      </c>
      <c r="R308" s="10" t="n">
        <v>46311</v>
      </c>
      <c r="S308" s="9" t="inlineStr">
        <is>
          <t>Date non vérifiée (calendrier officiel non consultable) ; saison régulière jusqu'au 2027-03-02</t>
        </is>
      </c>
      <c r="T308" s="9">
        <f>IF(H308="","",IF(MAX(H308,I308)&lt;TODAY(),"Terminé",IF(H308&lt;=TODAY(),"En cours","À venir")))</f>
        <v/>
      </c>
    </row>
    <row r="309">
      <c r="A309" s="9" t="inlineStr">
        <is>
          <t>MAG-2627-029</t>
        </is>
      </c>
      <c r="B309" s="9" t="inlineStr">
        <is>
          <t>Hockey sur glace</t>
        </is>
      </c>
      <c r="C309" s="9" t="inlineStr">
        <is>
          <t>Ligue Magnus</t>
        </is>
      </c>
      <c r="D309" s="9" t="inlineStr">
        <is>
          <t>2026-2027</t>
        </is>
      </c>
      <c r="E309" s="9" t="inlineStr">
        <is>
          <t>Saison régulière</t>
        </is>
      </c>
      <c r="F309" s="9" t="n">
        <v>25</v>
      </c>
      <c r="G309" s="9" t="inlineStr">
        <is>
          <t>Ligue Magnus – Journée 25</t>
        </is>
      </c>
      <c r="H309" s="10" t="n"/>
      <c r="I309" s="10" t="n"/>
      <c r="J309" s="11" t="n"/>
      <c r="K309" s="9" t="inlineStr">
        <is>
          <t>Europe/Paris</t>
        </is>
      </c>
      <c r="L309" s="9" t="n"/>
      <c r="M309" s="9" t="inlineStr">
        <is>
          <t>France</t>
        </is>
      </c>
      <c r="N309" s="9" t="inlineStr">
        <is>
          <t>Hommes</t>
        </is>
      </c>
      <c r="O309" s="9" t="inlineStr">
        <is>
          <t>À confirmer</t>
        </is>
      </c>
      <c r="P309" s="9" t="inlineStr">
        <is>
          <t>Oui</t>
        </is>
      </c>
      <c r="Q309" s="9" t="inlineStr">
        <is>
          <t>https://liguemagnus.com/calendrier-resultats/</t>
        </is>
      </c>
      <c r="R309" s="10" t="n">
        <v>46311</v>
      </c>
      <c r="S309" s="9" t="inlineStr">
        <is>
          <t>Date non vérifiée (calendrier officiel non consultable) ; saison régulière jusqu'au 2027-03-02</t>
        </is>
      </c>
      <c r="T309" s="9">
        <f>IF(H309="","",IF(MAX(H309,I309)&lt;TODAY(),"Terminé",IF(H309&lt;=TODAY(),"En cours","À venir")))</f>
        <v/>
      </c>
    </row>
    <row r="310">
      <c r="A310" s="9" t="inlineStr">
        <is>
          <t>MAG-2627-030</t>
        </is>
      </c>
      <c r="B310" s="9" t="inlineStr">
        <is>
          <t>Hockey sur glace</t>
        </is>
      </c>
      <c r="C310" s="9" t="inlineStr">
        <is>
          <t>Ligue Magnus</t>
        </is>
      </c>
      <c r="D310" s="9" t="inlineStr">
        <is>
          <t>2026-2027</t>
        </is>
      </c>
      <c r="E310" s="9" t="inlineStr">
        <is>
          <t>Saison régulière</t>
        </is>
      </c>
      <c r="F310" s="9" t="n">
        <v>26</v>
      </c>
      <c r="G310" s="9" t="inlineStr">
        <is>
          <t>Ligue Magnus – Journée 26</t>
        </is>
      </c>
      <c r="H310" s="10" t="n"/>
      <c r="I310" s="10" t="n"/>
      <c r="J310" s="11" t="n"/>
      <c r="K310" s="9" t="inlineStr">
        <is>
          <t>Europe/Paris</t>
        </is>
      </c>
      <c r="L310" s="9" t="n"/>
      <c r="M310" s="9" t="inlineStr">
        <is>
          <t>France</t>
        </is>
      </c>
      <c r="N310" s="9" t="inlineStr">
        <is>
          <t>Hommes</t>
        </is>
      </c>
      <c r="O310" s="9" t="inlineStr">
        <is>
          <t>À confirmer</t>
        </is>
      </c>
      <c r="P310" s="9" t="inlineStr">
        <is>
          <t>Oui</t>
        </is>
      </c>
      <c r="Q310" s="9" t="inlineStr">
        <is>
          <t>https://liguemagnus.com/calendrier-resultats/</t>
        </is>
      </c>
      <c r="R310" s="10" t="n">
        <v>46311</v>
      </c>
      <c r="S310" s="9" t="inlineStr">
        <is>
          <t>Date non vérifiée (calendrier officiel non consultable) ; saison régulière jusqu'au 2027-03-02</t>
        </is>
      </c>
      <c r="T310" s="9">
        <f>IF(H310="","",IF(MAX(H310,I310)&lt;TODAY(),"Terminé",IF(H310&lt;=TODAY(),"En cours","À venir")))</f>
        <v/>
      </c>
    </row>
    <row r="311">
      <c r="A311" s="9" t="inlineStr">
        <is>
          <t>MAG-2627-031</t>
        </is>
      </c>
      <c r="B311" s="9" t="inlineStr">
        <is>
          <t>Hockey sur glace</t>
        </is>
      </c>
      <c r="C311" s="9" t="inlineStr">
        <is>
          <t>Ligue Magnus</t>
        </is>
      </c>
      <c r="D311" s="9" t="inlineStr">
        <is>
          <t>2026-2027</t>
        </is>
      </c>
      <c r="E311" s="9" t="inlineStr">
        <is>
          <t>Saison régulière</t>
        </is>
      </c>
      <c r="F311" s="9" t="n">
        <v>27</v>
      </c>
      <c r="G311" s="9" t="inlineStr">
        <is>
          <t>Ligue Magnus – Journée 27</t>
        </is>
      </c>
      <c r="H311" s="10" t="n"/>
      <c r="I311" s="10" t="n"/>
      <c r="J311" s="11" t="n"/>
      <c r="K311" s="9" t="inlineStr">
        <is>
          <t>Europe/Paris</t>
        </is>
      </c>
      <c r="L311" s="9" t="n"/>
      <c r="M311" s="9" t="inlineStr">
        <is>
          <t>France</t>
        </is>
      </c>
      <c r="N311" s="9" t="inlineStr">
        <is>
          <t>Hommes</t>
        </is>
      </c>
      <c r="O311" s="9" t="inlineStr">
        <is>
          <t>À confirmer</t>
        </is>
      </c>
      <c r="P311" s="9" t="inlineStr">
        <is>
          <t>Oui</t>
        </is>
      </c>
      <c r="Q311" s="9" t="inlineStr">
        <is>
          <t>https://liguemagnus.com/calendrier-resultats/</t>
        </is>
      </c>
      <c r="R311" s="10" t="n">
        <v>46311</v>
      </c>
      <c r="S311" s="9" t="inlineStr">
        <is>
          <t>Date non vérifiée (calendrier officiel non consultable) ; saison régulière jusqu'au 2027-03-02</t>
        </is>
      </c>
      <c r="T311" s="9">
        <f>IF(H311="","",IF(MAX(H311,I311)&lt;TODAY(),"Terminé",IF(H311&lt;=TODAY(),"En cours","À venir")))</f>
        <v/>
      </c>
    </row>
    <row r="312">
      <c r="A312" s="9" t="inlineStr">
        <is>
          <t>MAG-2627-032</t>
        </is>
      </c>
      <c r="B312" s="9" t="inlineStr">
        <is>
          <t>Hockey sur glace</t>
        </is>
      </c>
      <c r="C312" s="9" t="inlineStr">
        <is>
          <t>Ligue Magnus</t>
        </is>
      </c>
      <c r="D312" s="9" t="inlineStr">
        <is>
          <t>2026-2027</t>
        </is>
      </c>
      <c r="E312" s="9" t="inlineStr">
        <is>
          <t>Saison régulière</t>
        </is>
      </c>
      <c r="F312" s="9" t="n">
        <v>28</v>
      </c>
      <c r="G312" s="9" t="inlineStr">
        <is>
          <t>Ligue Magnus – Journée 28</t>
        </is>
      </c>
      <c r="H312" s="10" t="n"/>
      <c r="I312" s="10" t="n"/>
      <c r="J312" s="11" t="n"/>
      <c r="K312" s="9" t="inlineStr">
        <is>
          <t>Europe/Paris</t>
        </is>
      </c>
      <c r="L312" s="9" t="n"/>
      <c r="M312" s="9" t="inlineStr">
        <is>
          <t>France</t>
        </is>
      </c>
      <c r="N312" s="9" t="inlineStr">
        <is>
          <t>Hommes</t>
        </is>
      </c>
      <c r="O312" s="9" t="inlineStr">
        <is>
          <t>À confirmer</t>
        </is>
      </c>
      <c r="P312" s="9" t="inlineStr">
        <is>
          <t>Oui</t>
        </is>
      </c>
      <c r="Q312" s="9" t="inlineStr">
        <is>
          <t>https://liguemagnus.com/calendrier-resultats/</t>
        </is>
      </c>
      <c r="R312" s="10" t="n">
        <v>46311</v>
      </c>
      <c r="S312" s="9" t="inlineStr">
        <is>
          <t>Date non vérifiée (calendrier officiel non consultable) ; saison régulière jusqu'au 2027-03-02</t>
        </is>
      </c>
      <c r="T312" s="9">
        <f>IF(H312="","",IF(MAX(H312,I312)&lt;TODAY(),"Terminé",IF(H312&lt;=TODAY(),"En cours","À venir")))</f>
        <v/>
      </c>
    </row>
    <row r="313">
      <c r="A313" s="9" t="inlineStr">
        <is>
          <t>MAG-2627-033</t>
        </is>
      </c>
      <c r="B313" s="9" t="inlineStr">
        <is>
          <t>Hockey sur glace</t>
        </is>
      </c>
      <c r="C313" s="9" t="inlineStr">
        <is>
          <t>Ligue Magnus</t>
        </is>
      </c>
      <c r="D313" s="9" t="inlineStr">
        <is>
          <t>2026-2027</t>
        </is>
      </c>
      <c r="E313" s="9" t="inlineStr">
        <is>
          <t>Saison régulière</t>
        </is>
      </c>
      <c r="F313" s="9" t="n">
        <v>29</v>
      </c>
      <c r="G313" s="9" t="inlineStr">
        <is>
          <t>Ligue Magnus – Journée 29</t>
        </is>
      </c>
      <c r="H313" s="10" t="n"/>
      <c r="I313" s="10" t="n"/>
      <c r="J313" s="11" t="n"/>
      <c r="K313" s="9" t="inlineStr">
        <is>
          <t>Europe/Paris</t>
        </is>
      </c>
      <c r="L313" s="9" t="n"/>
      <c r="M313" s="9" t="inlineStr">
        <is>
          <t>France</t>
        </is>
      </c>
      <c r="N313" s="9" t="inlineStr">
        <is>
          <t>Hommes</t>
        </is>
      </c>
      <c r="O313" s="9" t="inlineStr">
        <is>
          <t>À confirmer</t>
        </is>
      </c>
      <c r="P313" s="9" t="inlineStr">
        <is>
          <t>Oui</t>
        </is>
      </c>
      <c r="Q313" s="9" t="inlineStr">
        <is>
          <t>https://liguemagnus.com/calendrier-resultats/</t>
        </is>
      </c>
      <c r="R313" s="10" t="n">
        <v>46311</v>
      </c>
      <c r="S313" s="9" t="inlineStr">
        <is>
          <t>Date non vérifiée (calendrier officiel non consultable) ; saison régulière jusqu'au 2027-03-02</t>
        </is>
      </c>
      <c r="T313" s="9">
        <f>IF(H313="","",IF(MAX(H313,I313)&lt;TODAY(),"Terminé",IF(H313&lt;=TODAY(),"En cours","À venir")))</f>
        <v/>
      </c>
    </row>
    <row r="314">
      <c r="A314" s="9" t="inlineStr">
        <is>
          <t>MAG-2627-034</t>
        </is>
      </c>
      <c r="B314" s="9" t="inlineStr">
        <is>
          <t>Hockey sur glace</t>
        </is>
      </c>
      <c r="C314" s="9" t="inlineStr">
        <is>
          <t>Ligue Magnus</t>
        </is>
      </c>
      <c r="D314" s="9" t="inlineStr">
        <is>
          <t>2026-2027</t>
        </is>
      </c>
      <c r="E314" s="9" t="inlineStr">
        <is>
          <t>Saison régulière</t>
        </is>
      </c>
      <c r="F314" s="9" t="n">
        <v>30</v>
      </c>
      <c r="G314" s="9" t="inlineStr">
        <is>
          <t>Ligue Magnus – Journée 30</t>
        </is>
      </c>
      <c r="H314" s="10" t="n"/>
      <c r="I314" s="10" t="n"/>
      <c r="J314" s="11" t="n"/>
      <c r="K314" s="9" t="inlineStr">
        <is>
          <t>Europe/Paris</t>
        </is>
      </c>
      <c r="L314" s="9" t="n"/>
      <c r="M314" s="9" t="inlineStr">
        <is>
          <t>France</t>
        </is>
      </c>
      <c r="N314" s="9" t="inlineStr">
        <is>
          <t>Hommes</t>
        </is>
      </c>
      <c r="O314" s="9" t="inlineStr">
        <is>
          <t>À confirmer</t>
        </is>
      </c>
      <c r="P314" s="9" t="inlineStr">
        <is>
          <t>Oui</t>
        </is>
      </c>
      <c r="Q314" s="9" t="inlineStr">
        <is>
          <t>https://liguemagnus.com/calendrier-resultats/</t>
        </is>
      </c>
      <c r="R314" s="10" t="n">
        <v>46311</v>
      </c>
      <c r="S314" s="9" t="inlineStr">
        <is>
          <t>Date non vérifiée (calendrier officiel non consultable) ; saison régulière jusqu'au 2027-03-02</t>
        </is>
      </c>
      <c r="T314" s="9">
        <f>IF(H314="","",IF(MAX(H314,I314)&lt;TODAY(),"Terminé",IF(H314&lt;=TODAY(),"En cours","À venir")))</f>
        <v/>
      </c>
    </row>
    <row r="315">
      <c r="A315" s="9" t="inlineStr">
        <is>
          <t>MAG-2627-035</t>
        </is>
      </c>
      <c r="B315" s="9" t="inlineStr">
        <is>
          <t>Hockey sur glace</t>
        </is>
      </c>
      <c r="C315" s="9" t="inlineStr">
        <is>
          <t>Ligue Magnus</t>
        </is>
      </c>
      <c r="D315" s="9" t="inlineStr">
        <is>
          <t>2026-2027</t>
        </is>
      </c>
      <c r="E315" s="9" t="inlineStr">
        <is>
          <t>Saison régulière</t>
        </is>
      </c>
      <c r="F315" s="9" t="n">
        <v>31</v>
      </c>
      <c r="G315" s="9" t="inlineStr">
        <is>
          <t>Ligue Magnus – Journée 31</t>
        </is>
      </c>
      <c r="H315" s="10" t="n"/>
      <c r="I315" s="10" t="n"/>
      <c r="J315" s="11" t="n"/>
      <c r="K315" s="9" t="inlineStr">
        <is>
          <t>Europe/Paris</t>
        </is>
      </c>
      <c r="L315" s="9" t="n"/>
      <c r="M315" s="9" t="inlineStr">
        <is>
          <t>France</t>
        </is>
      </c>
      <c r="N315" s="9" t="inlineStr">
        <is>
          <t>Hommes</t>
        </is>
      </c>
      <c r="O315" s="9" t="inlineStr">
        <is>
          <t>À confirmer</t>
        </is>
      </c>
      <c r="P315" s="9" t="inlineStr">
        <is>
          <t>Oui</t>
        </is>
      </c>
      <c r="Q315" s="9" t="inlineStr">
        <is>
          <t>https://liguemagnus.com/calendrier-resultats/</t>
        </is>
      </c>
      <c r="R315" s="10" t="n">
        <v>46311</v>
      </c>
      <c r="S315" s="9" t="inlineStr">
        <is>
          <t>Date non vérifiée (calendrier officiel non consultable) ; saison régulière jusqu'au 2027-03-02</t>
        </is>
      </c>
      <c r="T315" s="9">
        <f>IF(H315="","",IF(MAX(H315,I315)&lt;TODAY(),"Terminé",IF(H315&lt;=TODAY(),"En cours","À venir")))</f>
        <v/>
      </c>
    </row>
    <row r="316">
      <c r="A316" s="9" t="inlineStr">
        <is>
          <t>MAG-2627-036</t>
        </is>
      </c>
      <c r="B316" s="9" t="inlineStr">
        <is>
          <t>Hockey sur glace</t>
        </is>
      </c>
      <c r="C316" s="9" t="inlineStr">
        <is>
          <t>Ligue Magnus</t>
        </is>
      </c>
      <c r="D316" s="9" t="inlineStr">
        <is>
          <t>2026-2027</t>
        </is>
      </c>
      <c r="E316" s="9" t="inlineStr">
        <is>
          <t>Saison régulière</t>
        </is>
      </c>
      <c r="F316" s="9" t="n">
        <v>32</v>
      </c>
      <c r="G316" s="9" t="inlineStr">
        <is>
          <t>Ligue Magnus – Journée 32</t>
        </is>
      </c>
      <c r="H316" s="10" t="n"/>
      <c r="I316" s="10" t="n"/>
      <c r="J316" s="11" t="n"/>
      <c r="K316" s="9" t="inlineStr">
        <is>
          <t>Europe/Paris</t>
        </is>
      </c>
      <c r="L316" s="9" t="n"/>
      <c r="M316" s="9" t="inlineStr">
        <is>
          <t>France</t>
        </is>
      </c>
      <c r="N316" s="9" t="inlineStr">
        <is>
          <t>Hommes</t>
        </is>
      </c>
      <c r="O316" s="9" t="inlineStr">
        <is>
          <t>À confirmer</t>
        </is>
      </c>
      <c r="P316" s="9" t="inlineStr">
        <is>
          <t>Oui</t>
        </is>
      </c>
      <c r="Q316" s="9" t="inlineStr">
        <is>
          <t>https://liguemagnus.com/calendrier-resultats/</t>
        </is>
      </c>
      <c r="R316" s="10" t="n">
        <v>46311</v>
      </c>
      <c r="S316" s="9" t="inlineStr">
        <is>
          <t>Date non vérifiée (calendrier officiel non consultable) ; saison régulière jusqu'au 2027-03-02</t>
        </is>
      </c>
      <c r="T316" s="9">
        <f>IF(H316="","",IF(MAX(H316,I316)&lt;TODAY(),"Terminé",IF(H316&lt;=TODAY(),"En cours","À venir")))</f>
        <v/>
      </c>
    </row>
    <row r="317">
      <c r="A317" s="9" t="inlineStr">
        <is>
          <t>MAG-2627-037</t>
        </is>
      </c>
      <c r="B317" s="9" t="inlineStr">
        <is>
          <t>Hockey sur glace</t>
        </is>
      </c>
      <c r="C317" s="9" t="inlineStr">
        <is>
          <t>Ligue Magnus</t>
        </is>
      </c>
      <c r="D317" s="9" t="inlineStr">
        <is>
          <t>2026-2027</t>
        </is>
      </c>
      <c r="E317" s="9" t="inlineStr">
        <is>
          <t>Saison régulière</t>
        </is>
      </c>
      <c r="F317" s="9" t="n">
        <v>33</v>
      </c>
      <c r="G317" s="9" t="inlineStr">
        <is>
          <t>Ligue Magnus – Journée 33</t>
        </is>
      </c>
      <c r="H317" s="10" t="n"/>
      <c r="I317" s="10" t="n"/>
      <c r="J317" s="11" t="n"/>
      <c r="K317" s="9" t="inlineStr">
        <is>
          <t>Europe/Paris</t>
        </is>
      </c>
      <c r="L317" s="9" t="n"/>
      <c r="M317" s="9" t="inlineStr">
        <is>
          <t>France</t>
        </is>
      </c>
      <c r="N317" s="9" t="inlineStr">
        <is>
          <t>Hommes</t>
        </is>
      </c>
      <c r="O317" s="9" t="inlineStr">
        <is>
          <t>À confirmer</t>
        </is>
      </c>
      <c r="P317" s="9" t="inlineStr">
        <is>
          <t>Oui</t>
        </is>
      </c>
      <c r="Q317" s="9" t="inlineStr">
        <is>
          <t>https://liguemagnus.com/calendrier-resultats/</t>
        </is>
      </c>
      <c r="R317" s="10" t="n">
        <v>46311</v>
      </c>
      <c r="S317" s="9" t="inlineStr">
        <is>
          <t>Date non vérifiée (calendrier officiel non consultable) ; saison régulière jusqu'au 2027-03-02</t>
        </is>
      </c>
      <c r="T317" s="9">
        <f>IF(H317="","",IF(MAX(H317,I317)&lt;TODAY(),"Terminé",IF(H317&lt;=TODAY(),"En cours","À venir")))</f>
        <v/>
      </c>
    </row>
    <row r="318">
      <c r="A318" s="9" t="inlineStr">
        <is>
          <t>MAG-2627-038</t>
        </is>
      </c>
      <c r="B318" s="9" t="inlineStr">
        <is>
          <t>Hockey sur glace</t>
        </is>
      </c>
      <c r="C318" s="9" t="inlineStr">
        <is>
          <t>Ligue Magnus</t>
        </is>
      </c>
      <c r="D318" s="9" t="inlineStr">
        <is>
          <t>2026-2027</t>
        </is>
      </c>
      <c r="E318" s="9" t="inlineStr">
        <is>
          <t>Saison régulière</t>
        </is>
      </c>
      <c r="F318" s="9" t="n">
        <v>34</v>
      </c>
      <c r="G318" s="9" t="inlineStr">
        <is>
          <t>Ligue Magnus – Journée 34</t>
        </is>
      </c>
      <c r="H318" s="10" t="n"/>
      <c r="I318" s="10" t="n"/>
      <c r="J318" s="11" t="n"/>
      <c r="K318" s="9" t="inlineStr">
        <is>
          <t>Europe/Paris</t>
        </is>
      </c>
      <c r="L318" s="9" t="n"/>
      <c r="M318" s="9" t="inlineStr">
        <is>
          <t>France</t>
        </is>
      </c>
      <c r="N318" s="9" t="inlineStr">
        <is>
          <t>Hommes</t>
        </is>
      </c>
      <c r="O318" s="9" t="inlineStr">
        <is>
          <t>À confirmer</t>
        </is>
      </c>
      <c r="P318" s="9" t="inlineStr">
        <is>
          <t>Oui</t>
        </is>
      </c>
      <c r="Q318" s="9" t="inlineStr">
        <is>
          <t>https://liguemagnus.com/calendrier-resultats/</t>
        </is>
      </c>
      <c r="R318" s="10" t="n">
        <v>46311</v>
      </c>
      <c r="S318" s="9" t="inlineStr">
        <is>
          <t>Date non vérifiée (calendrier officiel non consultable) ; saison régulière jusqu'au 2027-03-02</t>
        </is>
      </c>
      <c r="T318" s="9">
        <f>IF(H318="","",IF(MAX(H318,I318)&lt;TODAY(),"Terminé",IF(H318&lt;=TODAY(),"En cours","À venir")))</f>
        <v/>
      </c>
    </row>
    <row r="319">
      <c r="A319" s="9" t="inlineStr">
        <is>
          <t>MAG-2627-039</t>
        </is>
      </c>
      <c r="B319" s="9" t="inlineStr">
        <is>
          <t>Hockey sur glace</t>
        </is>
      </c>
      <c r="C319" s="9" t="inlineStr">
        <is>
          <t>Ligue Magnus</t>
        </is>
      </c>
      <c r="D319" s="9" t="inlineStr">
        <is>
          <t>2026-2027</t>
        </is>
      </c>
      <c r="E319" s="9" t="inlineStr">
        <is>
          <t>Saison régulière</t>
        </is>
      </c>
      <c r="F319" s="9" t="n">
        <v>35</v>
      </c>
      <c r="G319" s="9" t="inlineStr">
        <is>
          <t>Ligue Magnus – Journée 35</t>
        </is>
      </c>
      <c r="H319" s="10" t="n"/>
      <c r="I319" s="10" t="n"/>
      <c r="J319" s="11" t="n"/>
      <c r="K319" s="9" t="inlineStr">
        <is>
          <t>Europe/Paris</t>
        </is>
      </c>
      <c r="L319" s="9" t="n"/>
      <c r="M319" s="9" t="inlineStr">
        <is>
          <t>France</t>
        </is>
      </c>
      <c r="N319" s="9" t="inlineStr">
        <is>
          <t>Hommes</t>
        </is>
      </c>
      <c r="O319" s="9" t="inlineStr">
        <is>
          <t>À confirmer</t>
        </is>
      </c>
      <c r="P319" s="9" t="inlineStr">
        <is>
          <t>Oui</t>
        </is>
      </c>
      <c r="Q319" s="9" t="inlineStr">
        <is>
          <t>https://liguemagnus.com/calendrier-resultats/</t>
        </is>
      </c>
      <c r="R319" s="10" t="n">
        <v>46311</v>
      </c>
      <c r="S319" s="9" t="inlineStr">
        <is>
          <t>Date non vérifiée (calendrier officiel non consultable) ; saison régulière jusqu'au 2027-03-02</t>
        </is>
      </c>
      <c r="T319" s="9">
        <f>IF(H319="","",IF(MAX(H319,I319)&lt;TODAY(),"Terminé",IF(H319&lt;=TODAY(),"En cours","À venir")))</f>
        <v/>
      </c>
    </row>
    <row r="320">
      <c r="A320" s="9" t="inlineStr">
        <is>
          <t>MAG-2627-040</t>
        </is>
      </c>
      <c r="B320" s="9" t="inlineStr">
        <is>
          <t>Hockey sur glace</t>
        </is>
      </c>
      <c r="C320" s="9" t="inlineStr">
        <is>
          <t>Ligue Magnus</t>
        </is>
      </c>
      <c r="D320" s="9" t="inlineStr">
        <is>
          <t>2026-2027</t>
        </is>
      </c>
      <c r="E320" s="9" t="inlineStr">
        <is>
          <t>Saison régulière</t>
        </is>
      </c>
      <c r="F320" s="9" t="n">
        <v>36</v>
      </c>
      <c r="G320" s="9" t="inlineStr">
        <is>
          <t>Ligue Magnus – Journée 36</t>
        </is>
      </c>
      <c r="H320" s="10" t="n"/>
      <c r="I320" s="10" t="n"/>
      <c r="J320" s="11" t="n"/>
      <c r="K320" s="9" t="inlineStr">
        <is>
          <t>Europe/Paris</t>
        </is>
      </c>
      <c r="L320" s="9" t="n"/>
      <c r="M320" s="9" t="inlineStr">
        <is>
          <t>France</t>
        </is>
      </c>
      <c r="N320" s="9" t="inlineStr">
        <is>
          <t>Hommes</t>
        </is>
      </c>
      <c r="O320" s="9" t="inlineStr">
        <is>
          <t>À confirmer</t>
        </is>
      </c>
      <c r="P320" s="9" t="inlineStr">
        <is>
          <t>Oui</t>
        </is>
      </c>
      <c r="Q320" s="9" t="inlineStr">
        <is>
          <t>https://liguemagnus.com/calendrier-resultats/</t>
        </is>
      </c>
      <c r="R320" s="10" t="n">
        <v>46311</v>
      </c>
      <c r="S320" s="9" t="inlineStr">
        <is>
          <t>Date non vérifiée (calendrier officiel non consultable) ; saison régulière jusqu'au 2027-03-02</t>
        </is>
      </c>
      <c r="T320" s="9">
        <f>IF(H320="","",IF(MAX(H320,I320)&lt;TODAY(),"Terminé",IF(H320&lt;=TODAY(),"En cours","À venir")))</f>
        <v/>
      </c>
    </row>
    <row r="321">
      <c r="A321" s="9" t="inlineStr">
        <is>
          <t>MAG-2627-041</t>
        </is>
      </c>
      <c r="B321" s="9" t="inlineStr">
        <is>
          <t>Hockey sur glace</t>
        </is>
      </c>
      <c r="C321" s="9" t="inlineStr">
        <is>
          <t>Ligue Magnus</t>
        </is>
      </c>
      <c r="D321" s="9" t="inlineStr">
        <is>
          <t>2026-2027</t>
        </is>
      </c>
      <c r="E321" s="9" t="inlineStr">
        <is>
          <t>Saison régulière</t>
        </is>
      </c>
      <c r="F321" s="9" t="n">
        <v>37</v>
      </c>
      <c r="G321" s="9" t="inlineStr">
        <is>
          <t>Ligue Magnus – Journée 37</t>
        </is>
      </c>
      <c r="H321" s="10" t="n"/>
      <c r="I321" s="10" t="n"/>
      <c r="J321" s="11" t="n"/>
      <c r="K321" s="9" t="inlineStr">
        <is>
          <t>Europe/Paris</t>
        </is>
      </c>
      <c r="L321" s="9" t="n"/>
      <c r="M321" s="9" t="inlineStr">
        <is>
          <t>France</t>
        </is>
      </c>
      <c r="N321" s="9" t="inlineStr">
        <is>
          <t>Hommes</t>
        </is>
      </c>
      <c r="O321" s="9" t="inlineStr">
        <is>
          <t>À confirmer</t>
        </is>
      </c>
      <c r="P321" s="9" t="inlineStr">
        <is>
          <t>Oui</t>
        </is>
      </c>
      <c r="Q321" s="9" t="inlineStr">
        <is>
          <t>https://liguemagnus.com/calendrier-resultats/</t>
        </is>
      </c>
      <c r="R321" s="10" t="n">
        <v>46311</v>
      </c>
      <c r="S321" s="9" t="inlineStr">
        <is>
          <t>Date non vérifiée (calendrier officiel non consultable) ; saison régulière jusqu'au 2027-03-02</t>
        </is>
      </c>
      <c r="T321" s="9">
        <f>IF(H321="","",IF(MAX(H321,I321)&lt;TODAY(),"Terminé",IF(H321&lt;=TODAY(),"En cours","À venir")))</f>
        <v/>
      </c>
    </row>
    <row r="322">
      <c r="A322" s="9" t="inlineStr">
        <is>
          <t>MAG-2627-042</t>
        </is>
      </c>
      <c r="B322" s="9" t="inlineStr">
        <is>
          <t>Hockey sur glace</t>
        </is>
      </c>
      <c r="C322" s="9" t="inlineStr">
        <is>
          <t>Ligue Magnus</t>
        </is>
      </c>
      <c r="D322" s="9" t="inlineStr">
        <is>
          <t>2026-2027</t>
        </is>
      </c>
      <c r="E322" s="9" t="inlineStr">
        <is>
          <t>Saison régulière</t>
        </is>
      </c>
      <c r="F322" s="9" t="n">
        <v>38</v>
      </c>
      <c r="G322" s="9" t="inlineStr">
        <is>
          <t>Ligue Magnus – Journée 38</t>
        </is>
      </c>
      <c r="H322" s="10" t="n"/>
      <c r="I322" s="10" t="n"/>
      <c r="J322" s="11" t="n"/>
      <c r="K322" s="9" t="inlineStr">
        <is>
          <t>Europe/Paris</t>
        </is>
      </c>
      <c r="L322" s="9" t="n"/>
      <c r="M322" s="9" t="inlineStr">
        <is>
          <t>France</t>
        </is>
      </c>
      <c r="N322" s="9" t="inlineStr">
        <is>
          <t>Hommes</t>
        </is>
      </c>
      <c r="O322" s="9" t="inlineStr">
        <is>
          <t>À confirmer</t>
        </is>
      </c>
      <c r="P322" s="9" t="inlineStr">
        <is>
          <t>Oui</t>
        </is>
      </c>
      <c r="Q322" s="9" t="inlineStr">
        <is>
          <t>https://liguemagnus.com/calendrier-resultats/</t>
        </is>
      </c>
      <c r="R322" s="10" t="n">
        <v>46311</v>
      </c>
      <c r="S322" s="9" t="inlineStr">
        <is>
          <t>Date non vérifiée (calendrier officiel non consultable) ; saison régulière jusqu'au 2027-03-02</t>
        </is>
      </c>
      <c r="T322" s="9">
        <f>IF(H322="","",IF(MAX(H322,I322)&lt;TODAY(),"Terminé",IF(H322&lt;=TODAY(),"En cours","À venir")))</f>
        <v/>
      </c>
    </row>
    <row r="323">
      <c r="A323" s="9" t="inlineStr">
        <is>
          <t>MAG-2627-043</t>
        </is>
      </c>
      <c r="B323" s="9" t="inlineStr">
        <is>
          <t>Hockey sur glace</t>
        </is>
      </c>
      <c r="C323" s="9" t="inlineStr">
        <is>
          <t>Ligue Magnus</t>
        </is>
      </c>
      <c r="D323" s="9" t="inlineStr">
        <is>
          <t>2026-2027</t>
        </is>
      </c>
      <c r="E323" s="9" t="inlineStr">
        <is>
          <t>Saison régulière</t>
        </is>
      </c>
      <c r="F323" s="9" t="n">
        <v>39</v>
      </c>
      <c r="G323" s="9" t="inlineStr">
        <is>
          <t>Ligue Magnus – Journée 39</t>
        </is>
      </c>
      <c r="H323" s="10" t="n"/>
      <c r="I323" s="10" t="n"/>
      <c r="J323" s="11" t="n"/>
      <c r="K323" s="9" t="inlineStr">
        <is>
          <t>Europe/Paris</t>
        </is>
      </c>
      <c r="L323" s="9" t="n"/>
      <c r="M323" s="9" t="inlineStr">
        <is>
          <t>France</t>
        </is>
      </c>
      <c r="N323" s="9" t="inlineStr">
        <is>
          <t>Hommes</t>
        </is>
      </c>
      <c r="O323" s="9" t="inlineStr">
        <is>
          <t>À confirmer</t>
        </is>
      </c>
      <c r="P323" s="9" t="inlineStr">
        <is>
          <t>Oui</t>
        </is>
      </c>
      <c r="Q323" s="9" t="inlineStr">
        <is>
          <t>https://liguemagnus.com/calendrier-resultats/</t>
        </is>
      </c>
      <c r="R323" s="10" t="n">
        <v>46311</v>
      </c>
      <c r="S323" s="9" t="inlineStr">
        <is>
          <t>Date non vérifiée (calendrier officiel non consultable) ; saison régulière jusqu'au 2027-03-02</t>
        </is>
      </c>
      <c r="T323" s="9">
        <f>IF(H323="","",IF(MAX(H323,I323)&lt;TODAY(),"Terminé",IF(H323&lt;=TODAY(),"En cours","À venir")))</f>
        <v/>
      </c>
    </row>
    <row r="324">
      <c r="A324" s="9" t="inlineStr">
        <is>
          <t>MAG-2627-044</t>
        </is>
      </c>
      <c r="B324" s="9" t="inlineStr">
        <is>
          <t>Hockey sur glace</t>
        </is>
      </c>
      <c r="C324" s="9" t="inlineStr">
        <is>
          <t>Ligue Magnus</t>
        </is>
      </c>
      <c r="D324" s="9" t="inlineStr">
        <is>
          <t>2026-2027</t>
        </is>
      </c>
      <c r="E324" s="9" t="inlineStr">
        <is>
          <t>Saison régulière</t>
        </is>
      </c>
      <c r="F324" s="9" t="n">
        <v>40</v>
      </c>
      <c r="G324" s="9" t="inlineStr">
        <is>
          <t>Ligue Magnus – Journée 40</t>
        </is>
      </c>
      <c r="H324" s="10" t="n"/>
      <c r="I324" s="10" t="n"/>
      <c r="J324" s="11" t="n"/>
      <c r="K324" s="9" t="inlineStr">
        <is>
          <t>Europe/Paris</t>
        </is>
      </c>
      <c r="L324" s="9" t="n"/>
      <c r="M324" s="9" t="inlineStr">
        <is>
          <t>France</t>
        </is>
      </c>
      <c r="N324" s="9" t="inlineStr">
        <is>
          <t>Hommes</t>
        </is>
      </c>
      <c r="O324" s="9" t="inlineStr">
        <is>
          <t>À confirmer</t>
        </is>
      </c>
      <c r="P324" s="9" t="inlineStr">
        <is>
          <t>Oui</t>
        </is>
      </c>
      <c r="Q324" s="9" t="inlineStr">
        <is>
          <t>https://liguemagnus.com/calendrier-resultats/</t>
        </is>
      </c>
      <c r="R324" s="10" t="n">
        <v>46311</v>
      </c>
      <c r="S324" s="9" t="inlineStr">
        <is>
          <t>Date non vérifiée (calendrier officiel non consultable) ; saison régulière jusqu'au 2027-03-02</t>
        </is>
      </c>
      <c r="T324" s="9">
        <f>IF(H324="","",IF(MAX(H324,I324)&lt;TODAY(),"Terminé",IF(H324&lt;=TODAY(),"En cours","À venir")))</f>
        <v/>
      </c>
    </row>
    <row r="325">
      <c r="A325" s="9" t="inlineStr">
        <is>
          <t>MAG-2627-045</t>
        </is>
      </c>
      <c r="B325" s="9" t="inlineStr">
        <is>
          <t>Hockey sur glace</t>
        </is>
      </c>
      <c r="C325" s="9" t="inlineStr">
        <is>
          <t>Ligue Magnus</t>
        </is>
      </c>
      <c r="D325" s="9" t="inlineStr">
        <is>
          <t>2026-2027</t>
        </is>
      </c>
      <c r="E325" s="9" t="inlineStr">
        <is>
          <t>Saison régulière</t>
        </is>
      </c>
      <c r="F325" s="9" t="n">
        <v>41</v>
      </c>
      <c r="G325" s="9" t="inlineStr">
        <is>
          <t>Ligue Magnus – Journée 41</t>
        </is>
      </c>
      <c r="H325" s="10" t="n"/>
      <c r="I325" s="10" t="n"/>
      <c r="J325" s="11" t="n"/>
      <c r="K325" s="9" t="inlineStr">
        <is>
          <t>Europe/Paris</t>
        </is>
      </c>
      <c r="L325" s="9" t="n"/>
      <c r="M325" s="9" t="inlineStr">
        <is>
          <t>France</t>
        </is>
      </c>
      <c r="N325" s="9" t="inlineStr">
        <is>
          <t>Hommes</t>
        </is>
      </c>
      <c r="O325" s="9" t="inlineStr">
        <is>
          <t>À confirmer</t>
        </is>
      </c>
      <c r="P325" s="9" t="inlineStr">
        <is>
          <t>Oui</t>
        </is>
      </c>
      <c r="Q325" s="9" t="inlineStr">
        <is>
          <t>https://liguemagnus.com/calendrier-resultats/</t>
        </is>
      </c>
      <c r="R325" s="10" t="n">
        <v>46311</v>
      </c>
      <c r="S325" s="9" t="inlineStr">
        <is>
          <t>Date non vérifiée (calendrier officiel non consultable) ; saison régulière jusqu'au 2027-03-02</t>
        </is>
      </c>
      <c r="T325" s="9">
        <f>IF(H325="","",IF(MAX(H325,I325)&lt;TODAY(),"Terminé",IF(H325&lt;=TODAY(),"En cours","À venir")))</f>
        <v/>
      </c>
    </row>
    <row r="326">
      <c r="A326" s="9" t="inlineStr">
        <is>
          <t>MAG-2627-046</t>
        </is>
      </c>
      <c r="B326" s="9" t="inlineStr">
        <is>
          <t>Hockey sur glace</t>
        </is>
      </c>
      <c r="C326" s="9" t="inlineStr">
        <is>
          <t>Ligue Magnus</t>
        </is>
      </c>
      <c r="D326" s="9" t="inlineStr">
        <is>
          <t>2026-2027</t>
        </is>
      </c>
      <c r="E326" s="9" t="inlineStr">
        <is>
          <t>Saison régulière</t>
        </is>
      </c>
      <c r="F326" s="9" t="n">
        <v>42</v>
      </c>
      <c r="G326" s="9" t="inlineStr">
        <is>
          <t>Ligue Magnus – Journée 42</t>
        </is>
      </c>
      <c r="H326" s="10" t="n"/>
      <c r="I326" s="10" t="n"/>
      <c r="J326" s="11" t="n"/>
      <c r="K326" s="9" t="inlineStr">
        <is>
          <t>Europe/Paris</t>
        </is>
      </c>
      <c r="L326" s="9" t="n"/>
      <c r="M326" s="9" t="inlineStr">
        <is>
          <t>France</t>
        </is>
      </c>
      <c r="N326" s="9" t="inlineStr">
        <is>
          <t>Hommes</t>
        </is>
      </c>
      <c r="O326" s="9" t="inlineStr">
        <is>
          <t>À confirmer</t>
        </is>
      </c>
      <c r="P326" s="9" t="inlineStr">
        <is>
          <t>Oui</t>
        </is>
      </c>
      <c r="Q326" s="9" t="inlineStr">
        <is>
          <t>https://liguemagnus.com/calendrier-resultats/</t>
        </is>
      </c>
      <c r="R326" s="10" t="n">
        <v>46311</v>
      </c>
      <c r="S326" s="9" t="inlineStr">
        <is>
          <t>Date non vérifiée (calendrier officiel non consultable) ; saison régulière jusqu'au 2027-03-02</t>
        </is>
      </c>
      <c r="T326" s="9">
        <f>IF(H326="","",IF(MAX(H326,I326)&lt;TODAY(),"Terminé",IF(H326&lt;=TODAY(),"En cours","À venir")))</f>
        <v/>
      </c>
    </row>
    <row r="327">
      <c r="A327" s="9" t="inlineStr">
        <is>
          <t>MAG-2627-047</t>
        </is>
      </c>
      <c r="B327" s="9" t="inlineStr">
        <is>
          <t>Hockey sur glace</t>
        </is>
      </c>
      <c r="C327" s="9" t="inlineStr">
        <is>
          <t>Ligue Magnus</t>
        </is>
      </c>
      <c r="D327" s="9" t="inlineStr">
        <is>
          <t>2026-2027</t>
        </is>
      </c>
      <c r="E327" s="9" t="inlineStr">
        <is>
          <t>Saison régulière</t>
        </is>
      </c>
      <c r="F327" s="9" t="n">
        <v>43</v>
      </c>
      <c r="G327" s="9" t="inlineStr">
        <is>
          <t>Ligue Magnus – Journée 43</t>
        </is>
      </c>
      <c r="H327" s="10" t="n"/>
      <c r="I327" s="10" t="n"/>
      <c r="J327" s="11" t="n"/>
      <c r="K327" s="9" t="inlineStr">
        <is>
          <t>Europe/Paris</t>
        </is>
      </c>
      <c r="L327" s="9" t="n"/>
      <c r="M327" s="9" t="inlineStr">
        <is>
          <t>France</t>
        </is>
      </c>
      <c r="N327" s="9" t="inlineStr">
        <is>
          <t>Hommes</t>
        </is>
      </c>
      <c r="O327" s="9" t="inlineStr">
        <is>
          <t>À confirmer</t>
        </is>
      </c>
      <c r="P327" s="9" t="inlineStr">
        <is>
          <t>Oui</t>
        </is>
      </c>
      <c r="Q327" s="9" t="inlineStr">
        <is>
          <t>https://liguemagnus.com/calendrier-resultats/</t>
        </is>
      </c>
      <c r="R327" s="10" t="n">
        <v>46311</v>
      </c>
      <c r="S327" s="9" t="inlineStr">
        <is>
          <t>Date non vérifiée (calendrier officiel non consultable) ; saison régulière jusqu'au 2027-03-02</t>
        </is>
      </c>
      <c r="T327" s="9">
        <f>IF(H327="","",IF(MAX(H327,I327)&lt;TODAY(),"Terminé",IF(H327&lt;=TODAY(),"En cours","À venir")))</f>
        <v/>
      </c>
    </row>
    <row r="328">
      <c r="A328" s="9" t="inlineStr">
        <is>
          <t>MAG-2627-048</t>
        </is>
      </c>
      <c r="B328" s="9" t="inlineStr">
        <is>
          <t>Hockey sur glace</t>
        </is>
      </c>
      <c r="C328" s="9" t="inlineStr">
        <is>
          <t>Ligue Magnus</t>
        </is>
      </c>
      <c r="D328" s="9" t="inlineStr">
        <is>
          <t>2026-2027</t>
        </is>
      </c>
      <c r="E328" s="9" t="inlineStr">
        <is>
          <t>Saison régulière</t>
        </is>
      </c>
      <c r="F328" s="9" t="n">
        <v>44</v>
      </c>
      <c r="G328" s="9" t="inlineStr">
        <is>
          <t>Ligue Magnus – Journée 44</t>
        </is>
      </c>
      <c r="H328" s="10" t="n"/>
      <c r="I328" s="10" t="n"/>
      <c r="J328" s="11" t="n"/>
      <c r="K328" s="9" t="inlineStr">
        <is>
          <t>Europe/Paris</t>
        </is>
      </c>
      <c r="L328" s="9" t="n"/>
      <c r="M328" s="9" t="inlineStr">
        <is>
          <t>France</t>
        </is>
      </c>
      <c r="N328" s="9" t="inlineStr">
        <is>
          <t>Hommes</t>
        </is>
      </c>
      <c r="O328" s="9" t="inlineStr">
        <is>
          <t>À confirmer</t>
        </is>
      </c>
      <c r="P328" s="9" t="inlineStr">
        <is>
          <t>Oui</t>
        </is>
      </c>
      <c r="Q328" s="9" t="inlineStr">
        <is>
          <t>https://liguemagnus.com/calendrier-resultats/</t>
        </is>
      </c>
      <c r="R328" s="10" t="n">
        <v>46311</v>
      </c>
      <c r="S328" s="9" t="inlineStr">
        <is>
          <t>Fin de saison régulière annoncée le 2027-03-02, jour exact de la J44 non vérifié</t>
        </is>
      </c>
      <c r="T328" s="9">
        <f>IF(H328="","",IF(MAX(H328,I328)&lt;TODAY(),"Terminé",IF(H328&lt;=TODAY(),"En cours","À venir")))</f>
        <v/>
      </c>
    </row>
    <row r="329">
      <c r="A329" s="9" t="inlineStr">
        <is>
          <t>SPK-2627-001</t>
        </is>
      </c>
      <c r="B329" s="9" t="inlineStr">
        <is>
          <t>Volley-ball</t>
        </is>
      </c>
      <c r="C329" s="9" t="inlineStr">
        <is>
          <t>Marmara SpikeLigue</t>
        </is>
      </c>
      <c r="D329" s="9" t="inlineStr">
        <is>
          <t>2026-2027</t>
        </is>
      </c>
      <c r="E329" s="9" t="inlineStr">
        <is>
          <t>Saison régulière</t>
        </is>
      </c>
      <c r="F329" s="9" t="n">
        <v>1</v>
      </c>
      <c r="G329" s="9" t="inlineStr">
        <is>
          <t>Marmara SpikeLigue – Journée 1</t>
        </is>
      </c>
      <c r="H329" s="10" t="n">
        <v>46312</v>
      </c>
      <c r="I329" s="10" t="n">
        <v>46312</v>
      </c>
      <c r="J329" s="11" t="n"/>
      <c r="K329" s="9" t="inlineStr">
        <is>
          <t>Europe/Paris</t>
        </is>
      </c>
      <c r="L329" s="9" t="n"/>
      <c r="M329" s="9" t="inlineStr">
        <is>
          <t>France</t>
        </is>
      </c>
      <c r="N329" s="9" t="inlineStr">
        <is>
          <t>Hommes</t>
        </is>
      </c>
      <c r="O329" s="9" t="inlineStr">
        <is>
          <t>Officiel</t>
        </is>
      </c>
      <c r="P329" s="9" t="inlineStr">
        <is>
          <t>Oui</t>
        </is>
      </c>
      <c r="Q329" s="9" t="inlineStr">
        <is>
          <t>https://lnv.fr/actualites/2026-08-17/decouvrez-les-calendriers</t>
        </is>
      </c>
      <c r="R329" s="10" t="n">
        <v>46311</v>
      </c>
      <c r="S329" s="9" t="inlineStr">
        <is>
          <t>Reprise D1M le 17 octobre 2026 (LNV) ; 14 clubs. Compétition renommée D1M / Alterna Volstar</t>
        </is>
      </c>
      <c r="T329" s="9">
        <f>IF(H329="","",IF(MAX(H329,I329)&lt;TODAY(),"Terminé",IF(H329&lt;=TODAY(),"En cours","À venir")))</f>
        <v/>
      </c>
    </row>
    <row r="330">
      <c r="A330" s="9" t="inlineStr">
        <is>
          <t>SPK-2627-002</t>
        </is>
      </c>
      <c r="B330" s="9" t="inlineStr">
        <is>
          <t>Volley-ball</t>
        </is>
      </c>
      <c r="C330" s="9" t="inlineStr">
        <is>
          <t>Marmara SpikeLigue</t>
        </is>
      </c>
      <c r="D330" s="9" t="inlineStr">
        <is>
          <t>2026-2027</t>
        </is>
      </c>
      <c r="E330" s="9" t="inlineStr">
        <is>
          <t>Saison régulière</t>
        </is>
      </c>
      <c r="F330" s="9" t="n">
        <v>2</v>
      </c>
      <c r="G330" s="9" t="inlineStr">
        <is>
          <t>Marmara SpikeLigue – Journée 2</t>
        </is>
      </c>
      <c r="H330" s="10" t="n">
        <v>46315</v>
      </c>
      <c r="I330" s="10" t="n">
        <v>46315</v>
      </c>
      <c r="J330" s="11" t="n"/>
      <c r="K330" s="9" t="inlineStr">
        <is>
          <t>Europe/Paris</t>
        </is>
      </c>
      <c r="L330" s="9" t="n"/>
      <c r="M330" s="9" t="inlineStr">
        <is>
          <t>France</t>
        </is>
      </c>
      <c r="N330" s="9" t="inlineStr">
        <is>
          <t>Hommes</t>
        </is>
      </c>
      <c r="O330" s="9" t="inlineStr">
        <is>
          <t>Provisoire</t>
        </is>
      </c>
      <c r="P330" s="9" t="inlineStr">
        <is>
          <t>Oui</t>
        </is>
      </c>
      <c r="Q330" s="9" t="inlineStr">
        <is>
          <t>https://royanatlantiquevolleyball.fr/calendrier-2/</t>
        </is>
      </c>
      <c r="R330" s="10" t="n">
        <v>46311</v>
      </c>
      <c r="S330" s="9" t="inlineStr">
        <is>
          <t>Date du match de Royan (calendrier club) ; plage complète de la journée à confirmer sur lnv.fr. Compétition renommée D1M / Alterna Volstar par la LNV</t>
        </is>
      </c>
      <c r="T330" s="9">
        <f>IF(H330="","",IF(MAX(H330,I330)&lt;TODAY(),"Terminé",IF(H330&lt;=TODAY(),"En cours","À venir")))</f>
        <v/>
      </c>
    </row>
    <row r="331">
      <c r="A331" s="9" t="inlineStr">
        <is>
          <t>SPK-2627-003</t>
        </is>
      </c>
      <c r="B331" s="9" t="inlineStr">
        <is>
          <t>Volley-ball</t>
        </is>
      </c>
      <c r="C331" s="9" t="inlineStr">
        <is>
          <t>Marmara SpikeLigue</t>
        </is>
      </c>
      <c r="D331" s="9" t="inlineStr">
        <is>
          <t>2026-2027</t>
        </is>
      </c>
      <c r="E331" s="9" t="inlineStr">
        <is>
          <t>Saison régulière</t>
        </is>
      </c>
      <c r="F331" s="9" t="n">
        <v>3</v>
      </c>
      <c r="G331" s="9" t="inlineStr">
        <is>
          <t>Marmara SpikeLigue – Journée 3</t>
        </is>
      </c>
      <c r="H331" s="10" t="n">
        <v>46319</v>
      </c>
      <c r="I331" s="10" t="n">
        <v>46319</v>
      </c>
      <c r="J331" s="11" t="n"/>
      <c r="K331" s="9" t="inlineStr">
        <is>
          <t>Europe/Paris</t>
        </is>
      </c>
      <c r="L331" s="9" t="n"/>
      <c r="M331" s="9" t="inlineStr">
        <is>
          <t>France</t>
        </is>
      </c>
      <c r="N331" s="9" t="inlineStr">
        <is>
          <t>Hommes</t>
        </is>
      </c>
      <c r="O331" s="9" t="inlineStr">
        <is>
          <t>Provisoire</t>
        </is>
      </c>
      <c r="P331" s="9" t="inlineStr">
        <is>
          <t>Oui</t>
        </is>
      </c>
      <c r="Q331" s="9" t="inlineStr">
        <is>
          <t>https://royanatlantiquevolleyball.fr/calendrier-2/</t>
        </is>
      </c>
      <c r="R331" s="10" t="n">
        <v>46311</v>
      </c>
      <c r="S331" s="9" t="inlineStr">
        <is>
          <t>Date du match de Royan (calendrier club) ; plage complète de la journée à confirmer sur lnv.fr. Compétition renommée D1M / Alterna Volstar par la LNV</t>
        </is>
      </c>
      <c r="T331" s="9">
        <f>IF(H331="","",IF(MAX(H331,I331)&lt;TODAY(),"Terminé",IF(H331&lt;=TODAY(),"En cours","À venir")))</f>
        <v/>
      </c>
    </row>
    <row r="332">
      <c r="A332" s="9" t="inlineStr">
        <is>
          <t>SPK-2627-004</t>
        </is>
      </c>
      <c r="B332" s="9" t="inlineStr">
        <is>
          <t>Volley-ball</t>
        </is>
      </c>
      <c r="C332" s="9" t="inlineStr">
        <is>
          <t>Marmara SpikeLigue</t>
        </is>
      </c>
      <c r="D332" s="9" t="inlineStr">
        <is>
          <t>2026-2027</t>
        </is>
      </c>
      <c r="E332" s="9" t="inlineStr">
        <is>
          <t>Saison régulière</t>
        </is>
      </c>
      <c r="F332" s="9" t="n">
        <v>4</v>
      </c>
      <c r="G332" s="9" t="inlineStr">
        <is>
          <t>Marmara SpikeLigue – Journée 4</t>
        </is>
      </c>
      <c r="H332" s="10" t="n">
        <v>46326</v>
      </c>
      <c r="I332" s="10" t="n">
        <v>46326</v>
      </c>
      <c r="J332" s="11" t="n"/>
      <c r="K332" s="9" t="inlineStr">
        <is>
          <t>Europe/Paris</t>
        </is>
      </c>
      <c r="L332" s="9" t="n"/>
      <c r="M332" s="9" t="inlineStr">
        <is>
          <t>France</t>
        </is>
      </c>
      <c r="N332" s="9" t="inlineStr">
        <is>
          <t>Hommes</t>
        </is>
      </c>
      <c r="O332" s="9" t="inlineStr">
        <is>
          <t>Provisoire</t>
        </is>
      </c>
      <c r="P332" s="9" t="inlineStr">
        <is>
          <t>Oui</t>
        </is>
      </c>
      <c r="Q332" s="9" t="inlineStr">
        <is>
          <t>https://royanatlantiquevolleyball.fr/calendrier-2/</t>
        </is>
      </c>
      <c r="R332" s="10" t="n">
        <v>46311</v>
      </c>
      <c r="S332" s="9" t="inlineStr">
        <is>
          <t>Date du match de Royan (calendrier club) ; plage complète de la journée à confirmer sur lnv.fr. Compétition renommée D1M / Alterna Volstar par la LNV</t>
        </is>
      </c>
      <c r="T332" s="9">
        <f>IF(H332="","",IF(MAX(H332,I332)&lt;TODAY(),"Terminé",IF(H332&lt;=TODAY(),"En cours","À venir")))</f>
        <v/>
      </c>
    </row>
    <row r="333">
      <c r="A333" s="9" t="inlineStr">
        <is>
          <t>SPK-2627-005</t>
        </is>
      </c>
      <c r="B333" s="9" t="inlineStr">
        <is>
          <t>Volley-ball</t>
        </is>
      </c>
      <c r="C333" s="9" t="inlineStr">
        <is>
          <t>Marmara SpikeLigue</t>
        </is>
      </c>
      <c r="D333" s="9" t="inlineStr">
        <is>
          <t>2026-2027</t>
        </is>
      </c>
      <c r="E333" s="9" t="inlineStr">
        <is>
          <t>Saison régulière</t>
        </is>
      </c>
      <c r="F333" s="9" t="n">
        <v>5</v>
      </c>
      <c r="G333" s="9" t="inlineStr">
        <is>
          <t>Marmara SpikeLigue – Journée 5</t>
        </is>
      </c>
      <c r="H333" s="10" t="n">
        <v>46333</v>
      </c>
      <c r="I333" s="10" t="n">
        <v>46333</v>
      </c>
      <c r="J333" s="11" t="n"/>
      <c r="K333" s="9" t="inlineStr">
        <is>
          <t>Europe/Paris</t>
        </is>
      </c>
      <c r="L333" s="9" t="n"/>
      <c r="M333" s="9" t="inlineStr">
        <is>
          <t>France</t>
        </is>
      </c>
      <c r="N333" s="9" t="inlineStr">
        <is>
          <t>Hommes</t>
        </is>
      </c>
      <c r="O333" s="9" t="inlineStr">
        <is>
          <t>Provisoire</t>
        </is>
      </c>
      <c r="P333" s="9" t="inlineStr">
        <is>
          <t>Oui</t>
        </is>
      </c>
      <c r="Q333" s="9" t="inlineStr">
        <is>
          <t>https://royanatlantiquevolleyball.fr/calendrier-2/</t>
        </is>
      </c>
      <c r="R333" s="10" t="n">
        <v>46311</v>
      </c>
      <c r="S333" s="9" t="inlineStr">
        <is>
          <t>Date du match de Royan (calendrier club) ; plage complète de la journée à confirmer sur lnv.fr. Compétition renommée D1M / Alterna Volstar par la LNV</t>
        </is>
      </c>
      <c r="T333" s="9">
        <f>IF(H333="","",IF(MAX(H333,I333)&lt;TODAY(),"Terminé",IF(H333&lt;=TODAY(),"En cours","À venir")))</f>
        <v/>
      </c>
    </row>
    <row r="334">
      <c r="A334" s="9" t="inlineStr">
        <is>
          <t>SPK-2627-006</t>
        </is>
      </c>
      <c r="B334" s="9" t="inlineStr">
        <is>
          <t>Volley-ball</t>
        </is>
      </c>
      <c r="C334" s="9" t="inlineStr">
        <is>
          <t>Marmara SpikeLigue</t>
        </is>
      </c>
      <c r="D334" s="9" t="inlineStr">
        <is>
          <t>2026-2027</t>
        </is>
      </c>
      <c r="E334" s="9" t="inlineStr">
        <is>
          <t>Saison régulière</t>
        </is>
      </c>
      <c r="F334" s="9" t="n">
        <v>6</v>
      </c>
      <c r="G334" s="9" t="inlineStr">
        <is>
          <t>Marmara SpikeLigue – Journée 6</t>
        </is>
      </c>
      <c r="H334" s="10" t="n">
        <v>46339</v>
      </c>
      <c r="I334" s="10" t="n">
        <v>46339</v>
      </c>
      <c r="J334" s="11" t="n"/>
      <c r="K334" s="9" t="inlineStr">
        <is>
          <t>Europe/Paris</t>
        </is>
      </c>
      <c r="L334" s="9" t="n"/>
      <c r="M334" s="9" t="inlineStr">
        <is>
          <t>France</t>
        </is>
      </c>
      <c r="N334" s="9" t="inlineStr">
        <is>
          <t>Hommes</t>
        </is>
      </c>
      <c r="O334" s="9" t="inlineStr">
        <is>
          <t>Provisoire</t>
        </is>
      </c>
      <c r="P334" s="9" t="inlineStr">
        <is>
          <t>Oui</t>
        </is>
      </c>
      <c r="Q334" s="9" t="inlineStr">
        <is>
          <t>https://royanatlantiquevolleyball.fr/calendrier-2/</t>
        </is>
      </c>
      <c r="R334" s="10" t="n">
        <v>46311</v>
      </c>
      <c r="S334" s="9" t="inlineStr">
        <is>
          <t>Date du match de Royan (calendrier club) ; plage complète de la journée à confirmer sur lnv.fr. Compétition renommée D1M / Alterna Volstar par la LNV</t>
        </is>
      </c>
      <c r="T334" s="9">
        <f>IF(H334="","",IF(MAX(H334,I334)&lt;TODAY(),"Terminé",IF(H334&lt;=TODAY(),"En cours","À venir")))</f>
        <v/>
      </c>
    </row>
    <row r="335">
      <c r="A335" s="9" t="inlineStr">
        <is>
          <t>SPK-2627-007</t>
        </is>
      </c>
      <c r="B335" s="9" t="inlineStr">
        <is>
          <t>Volley-ball</t>
        </is>
      </c>
      <c r="C335" s="9" t="inlineStr">
        <is>
          <t>Marmara SpikeLigue</t>
        </is>
      </c>
      <c r="D335" s="9" t="inlineStr">
        <is>
          <t>2026-2027</t>
        </is>
      </c>
      <c r="E335" s="9" t="inlineStr">
        <is>
          <t>Saison régulière</t>
        </is>
      </c>
      <c r="F335" s="9" t="n">
        <v>8</v>
      </c>
      <c r="G335" s="9" t="inlineStr">
        <is>
          <t>Marmara SpikeLigue – Journée 8</t>
        </is>
      </c>
      <c r="H335" s="10" t="n">
        <v>46354</v>
      </c>
      <c r="I335" s="10" t="n">
        <v>46354</v>
      </c>
      <c r="J335" s="11" t="n"/>
      <c r="K335" s="9" t="inlineStr">
        <is>
          <t>Europe/Paris</t>
        </is>
      </c>
      <c r="L335" s="9" t="n"/>
      <c r="M335" s="9" t="inlineStr">
        <is>
          <t>France</t>
        </is>
      </c>
      <c r="N335" s="9" t="inlineStr">
        <is>
          <t>Hommes</t>
        </is>
      </c>
      <c r="O335" s="9" t="inlineStr">
        <is>
          <t>Provisoire</t>
        </is>
      </c>
      <c r="P335" s="9" t="inlineStr">
        <is>
          <t>Oui</t>
        </is>
      </c>
      <c r="Q335" s="9" t="inlineStr">
        <is>
          <t>https://royanatlantiquevolleyball.fr/calendrier-2/</t>
        </is>
      </c>
      <c r="R335" s="10" t="n">
        <v>46311</v>
      </c>
      <c r="S335" s="9" t="inlineStr">
        <is>
          <t>Date du match de Royan (calendrier club) ; plage complète de la journée à confirmer sur lnv.fr. Compétition renommée D1M / Alterna Volstar par la LNV</t>
        </is>
      </c>
      <c r="T335" s="9">
        <f>IF(H335="","",IF(MAX(H335,I335)&lt;TODAY(),"Terminé",IF(H335&lt;=TODAY(),"En cours","À venir")))</f>
        <v/>
      </c>
    </row>
    <row r="336">
      <c r="A336" s="9" t="inlineStr">
        <is>
          <t>SPK-2627-008</t>
        </is>
      </c>
      <c r="B336" s="9" t="inlineStr">
        <is>
          <t>Volley-ball</t>
        </is>
      </c>
      <c r="C336" s="9" t="inlineStr">
        <is>
          <t>Marmara SpikeLigue</t>
        </is>
      </c>
      <c r="D336" s="9" t="inlineStr">
        <is>
          <t>2026-2027</t>
        </is>
      </c>
      <c r="E336" s="9" t="inlineStr">
        <is>
          <t>Saison régulière</t>
        </is>
      </c>
      <c r="F336" s="9" t="n">
        <v>9</v>
      </c>
      <c r="G336" s="9" t="inlineStr">
        <is>
          <t>Marmara SpikeLigue – Journée 9</t>
        </is>
      </c>
      <c r="H336" s="10" t="n">
        <v>46360</v>
      </c>
      <c r="I336" s="10" t="n">
        <v>46360</v>
      </c>
      <c r="J336" s="11" t="n"/>
      <c r="K336" s="9" t="inlineStr">
        <is>
          <t>Europe/Paris</t>
        </is>
      </c>
      <c r="L336" s="9" t="n"/>
      <c r="M336" s="9" t="inlineStr">
        <is>
          <t>France</t>
        </is>
      </c>
      <c r="N336" s="9" t="inlineStr">
        <is>
          <t>Hommes</t>
        </is>
      </c>
      <c r="O336" s="9" t="inlineStr">
        <is>
          <t>Provisoire</t>
        </is>
      </c>
      <c r="P336" s="9" t="inlineStr">
        <is>
          <t>Oui</t>
        </is>
      </c>
      <c r="Q336" s="9" t="inlineStr">
        <is>
          <t>https://royanatlantiquevolleyball.fr/calendrier-2/</t>
        </is>
      </c>
      <c r="R336" s="10" t="n">
        <v>46311</v>
      </c>
      <c r="S336" s="9" t="inlineStr">
        <is>
          <t>Date du match de Royan (calendrier club) ; plage complète de la journée à confirmer sur lnv.fr. Compétition renommée D1M / Alterna Volstar par la LNV</t>
        </is>
      </c>
      <c r="T336" s="9">
        <f>IF(H336="","",IF(MAX(H336,I336)&lt;TODAY(),"Terminé",IF(H336&lt;=TODAY(),"En cours","À venir")))</f>
        <v/>
      </c>
    </row>
    <row r="337">
      <c r="A337" s="9" t="inlineStr">
        <is>
          <t>SPK-2627-009</t>
        </is>
      </c>
      <c r="B337" s="9" t="inlineStr">
        <is>
          <t>Volley-ball</t>
        </is>
      </c>
      <c r="C337" s="9" t="inlineStr">
        <is>
          <t>Marmara SpikeLigue</t>
        </is>
      </c>
      <c r="D337" s="9" t="inlineStr">
        <is>
          <t>2026-2027</t>
        </is>
      </c>
      <c r="E337" s="9" t="inlineStr">
        <is>
          <t>Saison régulière</t>
        </is>
      </c>
      <c r="F337" s="9" t="n">
        <v>10</v>
      </c>
      <c r="G337" s="9" t="inlineStr">
        <is>
          <t>Marmara SpikeLigue – Journée 10</t>
        </is>
      </c>
      <c r="H337" s="10" t="n">
        <v>46368</v>
      </c>
      <c r="I337" s="10" t="n">
        <v>46368</v>
      </c>
      <c r="J337" s="11" t="n"/>
      <c r="K337" s="9" t="inlineStr">
        <is>
          <t>Europe/Paris</t>
        </is>
      </c>
      <c r="L337" s="9" t="n"/>
      <c r="M337" s="9" t="inlineStr">
        <is>
          <t>France</t>
        </is>
      </c>
      <c r="N337" s="9" t="inlineStr">
        <is>
          <t>Hommes</t>
        </is>
      </c>
      <c r="O337" s="9" t="inlineStr">
        <is>
          <t>Provisoire</t>
        </is>
      </c>
      <c r="P337" s="9" t="inlineStr">
        <is>
          <t>Oui</t>
        </is>
      </c>
      <c r="Q337" s="9" t="inlineStr">
        <is>
          <t>https://royanatlantiquevolleyball.fr/calendrier-2/</t>
        </is>
      </c>
      <c r="R337" s="10" t="n">
        <v>46311</v>
      </c>
      <c r="S337" s="9" t="inlineStr">
        <is>
          <t>Date du match de Royan (calendrier club) ; plage complète de la journée à confirmer sur lnv.fr. Compétition renommée D1M / Alterna Volstar par la LNV</t>
        </is>
      </c>
      <c r="T337" s="9">
        <f>IF(H337="","",IF(MAX(H337,I337)&lt;TODAY(),"Terminé",IF(H337&lt;=TODAY(),"En cours","À venir")))</f>
        <v/>
      </c>
    </row>
    <row r="338">
      <c r="A338" s="9" t="inlineStr">
        <is>
          <t>SPK-2627-010</t>
        </is>
      </c>
      <c r="B338" s="9" t="inlineStr">
        <is>
          <t>Volley-ball</t>
        </is>
      </c>
      <c r="C338" s="9" t="inlineStr">
        <is>
          <t>Marmara SpikeLigue</t>
        </is>
      </c>
      <c r="D338" s="9" t="inlineStr">
        <is>
          <t>2026-2027</t>
        </is>
      </c>
      <c r="E338" s="9" t="inlineStr">
        <is>
          <t>Saison régulière</t>
        </is>
      </c>
      <c r="F338" s="9" t="n">
        <v>11</v>
      </c>
      <c r="G338" s="9" t="inlineStr">
        <is>
          <t>Marmara SpikeLigue – Journée 11</t>
        </is>
      </c>
      <c r="H338" s="10" t="n">
        <v>46375</v>
      </c>
      <c r="I338" s="10" t="n">
        <v>46375</v>
      </c>
      <c r="J338" s="11" t="n"/>
      <c r="K338" s="9" t="inlineStr">
        <is>
          <t>Europe/Paris</t>
        </is>
      </c>
      <c r="L338" s="9" t="n"/>
      <c r="M338" s="9" t="inlineStr">
        <is>
          <t>France</t>
        </is>
      </c>
      <c r="N338" s="9" t="inlineStr">
        <is>
          <t>Hommes</t>
        </is>
      </c>
      <c r="O338" s="9" t="inlineStr">
        <is>
          <t>Provisoire</t>
        </is>
      </c>
      <c r="P338" s="9" t="inlineStr">
        <is>
          <t>Oui</t>
        </is>
      </c>
      <c r="Q338" s="9" t="inlineStr">
        <is>
          <t>https://royanatlantiquevolleyball.fr/calendrier-2/</t>
        </is>
      </c>
      <c r="R338" s="10" t="n">
        <v>46311</v>
      </c>
      <c r="S338" s="9" t="inlineStr">
        <is>
          <t>Date du match de Royan (calendrier club) ; plage complète de la journée à confirmer sur lnv.fr. Compétition renommée D1M / Alterna Volstar par la LNV</t>
        </is>
      </c>
      <c r="T338" s="9">
        <f>IF(H338="","",IF(MAX(H338,I338)&lt;TODAY(),"Terminé",IF(H338&lt;=TODAY(),"En cours","À venir")))</f>
        <v/>
      </c>
    </row>
    <row r="339">
      <c r="A339" s="9" t="inlineStr">
        <is>
          <t>SPK-2627-011</t>
        </is>
      </c>
      <c r="B339" s="9" t="inlineStr">
        <is>
          <t>Volley-ball</t>
        </is>
      </c>
      <c r="C339" s="9" t="inlineStr">
        <is>
          <t>Marmara SpikeLigue</t>
        </is>
      </c>
      <c r="D339" s="9" t="inlineStr">
        <is>
          <t>2026-2027</t>
        </is>
      </c>
      <c r="E339" s="9" t="inlineStr">
        <is>
          <t>Saison régulière</t>
        </is>
      </c>
      <c r="F339" s="9" t="n">
        <v>12</v>
      </c>
      <c r="G339" s="9" t="inlineStr">
        <is>
          <t>Marmara SpikeLigue – Journée 12</t>
        </is>
      </c>
      <c r="H339" s="10" t="n">
        <v>46378</v>
      </c>
      <c r="I339" s="10" t="n">
        <v>46378</v>
      </c>
      <c r="J339" s="11" t="n"/>
      <c r="K339" s="9" t="inlineStr">
        <is>
          <t>Europe/Paris</t>
        </is>
      </c>
      <c r="L339" s="9" t="n"/>
      <c r="M339" s="9" t="inlineStr">
        <is>
          <t>France</t>
        </is>
      </c>
      <c r="N339" s="9" t="inlineStr">
        <is>
          <t>Hommes</t>
        </is>
      </c>
      <c r="O339" s="9" t="inlineStr">
        <is>
          <t>Provisoire</t>
        </is>
      </c>
      <c r="P339" s="9" t="inlineStr">
        <is>
          <t>Oui</t>
        </is>
      </c>
      <c r="Q339" s="9" t="inlineStr">
        <is>
          <t>https://royanatlantiquevolleyball.fr/calendrier-2/</t>
        </is>
      </c>
      <c r="R339" s="10" t="n">
        <v>46311</v>
      </c>
      <c r="S339" s="9" t="inlineStr">
        <is>
          <t>Date du match de Royan (calendrier club) ; plage complète de la journée à confirmer sur lnv.fr. Compétition renommée D1M / Alterna Volstar par la LNV</t>
        </is>
      </c>
      <c r="T339" s="9">
        <f>IF(H339="","",IF(MAX(H339,I339)&lt;TODAY(),"Terminé",IF(H339&lt;=TODAY(),"En cours","À venir")))</f>
        <v/>
      </c>
    </row>
    <row r="340">
      <c r="A340" s="9" t="inlineStr">
        <is>
          <t>SPK-2627-012</t>
        </is>
      </c>
      <c r="B340" s="9" t="inlineStr">
        <is>
          <t>Volley-ball</t>
        </is>
      </c>
      <c r="C340" s="9" t="inlineStr">
        <is>
          <t>Marmara SpikeLigue</t>
        </is>
      </c>
      <c r="D340" s="9" t="inlineStr">
        <is>
          <t>2026-2027</t>
        </is>
      </c>
      <c r="E340" s="9" t="inlineStr">
        <is>
          <t>Saison régulière</t>
        </is>
      </c>
      <c r="F340" s="9" t="n">
        <v>13</v>
      </c>
      <c r="G340" s="9" t="inlineStr">
        <is>
          <t>Marmara SpikeLigue – Journée 13</t>
        </is>
      </c>
      <c r="H340" s="10" t="n">
        <v>46386</v>
      </c>
      <c r="I340" s="10" t="n">
        <v>46386</v>
      </c>
      <c r="J340" s="11" t="n"/>
      <c r="K340" s="9" t="inlineStr">
        <is>
          <t>Europe/Paris</t>
        </is>
      </c>
      <c r="L340" s="9" t="n"/>
      <c r="M340" s="9" t="inlineStr">
        <is>
          <t>France</t>
        </is>
      </c>
      <c r="N340" s="9" t="inlineStr">
        <is>
          <t>Hommes</t>
        </is>
      </c>
      <c r="O340" s="9" t="inlineStr">
        <is>
          <t>Provisoire</t>
        </is>
      </c>
      <c r="P340" s="9" t="inlineStr">
        <is>
          <t>Oui</t>
        </is>
      </c>
      <c r="Q340" s="9" t="inlineStr">
        <is>
          <t>https://royanatlantiquevolleyball.fr/calendrier-2/</t>
        </is>
      </c>
      <c r="R340" s="10" t="n">
        <v>46311</v>
      </c>
      <c r="S340" s="9" t="inlineStr">
        <is>
          <t>Date du match de Royan (calendrier club) ; plage complète de la journée à confirmer sur lnv.fr. Compétition renommée D1M / Alterna Volstar par la LNV</t>
        </is>
      </c>
      <c r="T340" s="9">
        <f>IF(H340="","",IF(MAX(H340,I340)&lt;TODAY(),"Terminé",IF(H340&lt;=TODAY(),"En cours","À venir")))</f>
        <v/>
      </c>
    </row>
    <row r="341">
      <c r="A341" s="9" t="inlineStr">
        <is>
          <t>SPK-2627-013</t>
        </is>
      </c>
      <c r="B341" s="9" t="inlineStr">
        <is>
          <t>Volley-ball</t>
        </is>
      </c>
      <c r="C341" s="9" t="inlineStr">
        <is>
          <t>Marmara SpikeLigue</t>
        </is>
      </c>
      <c r="D341" s="9" t="inlineStr">
        <is>
          <t>2026-2027</t>
        </is>
      </c>
      <c r="E341" s="9" t="inlineStr">
        <is>
          <t>Saison régulière</t>
        </is>
      </c>
      <c r="F341" s="9" t="n">
        <v>14</v>
      </c>
      <c r="G341" s="9" t="inlineStr">
        <is>
          <t>Marmara SpikeLigue – Journée 14</t>
        </is>
      </c>
      <c r="H341" s="10" t="n">
        <v>46396</v>
      </c>
      <c r="I341" s="10" t="n">
        <v>46396</v>
      </c>
      <c r="J341" s="11" t="n"/>
      <c r="K341" s="9" t="inlineStr">
        <is>
          <t>Europe/Paris</t>
        </is>
      </c>
      <c r="L341" s="9" t="n"/>
      <c r="M341" s="9" t="inlineStr">
        <is>
          <t>France</t>
        </is>
      </c>
      <c r="N341" s="9" t="inlineStr">
        <is>
          <t>Hommes</t>
        </is>
      </c>
      <c r="O341" s="9" t="inlineStr">
        <is>
          <t>Provisoire</t>
        </is>
      </c>
      <c r="P341" s="9" t="inlineStr">
        <is>
          <t>Oui</t>
        </is>
      </c>
      <c r="Q341" s="9" t="inlineStr">
        <is>
          <t>https://royanatlantiquevolleyball.fr/calendrier-2/</t>
        </is>
      </c>
      <c r="R341" s="10" t="n">
        <v>46311</v>
      </c>
      <c r="S341" s="9" t="inlineStr">
        <is>
          <t>Date du match de Royan (calendrier club) ; plage complète de la journée à confirmer sur lnv.fr. Compétition renommée D1M / Alterna Volstar par la LNV</t>
        </is>
      </c>
      <c r="T341" s="9">
        <f>IF(H341="","",IF(MAX(H341,I341)&lt;TODAY(),"Terminé",IF(H341&lt;=TODAY(),"En cours","À venir")))</f>
        <v/>
      </c>
    </row>
    <row r="342">
      <c r="A342" s="9" t="inlineStr">
        <is>
          <t>SPK-2627-014</t>
        </is>
      </c>
      <c r="B342" s="9" t="inlineStr">
        <is>
          <t>Volley-ball</t>
        </is>
      </c>
      <c r="C342" s="9" t="inlineStr">
        <is>
          <t>Marmara SpikeLigue</t>
        </is>
      </c>
      <c r="D342" s="9" t="inlineStr">
        <is>
          <t>2026-2027</t>
        </is>
      </c>
      <c r="E342" s="9" t="inlineStr">
        <is>
          <t>Saison régulière</t>
        </is>
      </c>
      <c r="F342" s="9" t="n">
        <v>15</v>
      </c>
      <c r="G342" s="9" t="inlineStr">
        <is>
          <t>Marmara SpikeLigue – Journée 15</t>
        </is>
      </c>
      <c r="H342" s="10" t="n">
        <v>46399</v>
      </c>
      <c r="I342" s="10" t="n">
        <v>46399</v>
      </c>
      <c r="J342" s="11" t="n"/>
      <c r="K342" s="9" t="inlineStr">
        <is>
          <t>Europe/Paris</t>
        </is>
      </c>
      <c r="L342" s="9" t="n"/>
      <c r="M342" s="9" t="inlineStr">
        <is>
          <t>France</t>
        </is>
      </c>
      <c r="N342" s="9" t="inlineStr">
        <is>
          <t>Hommes</t>
        </is>
      </c>
      <c r="O342" s="9" t="inlineStr">
        <is>
          <t>Provisoire</t>
        </is>
      </c>
      <c r="P342" s="9" t="inlineStr">
        <is>
          <t>Oui</t>
        </is>
      </c>
      <c r="Q342" s="9" t="inlineStr">
        <is>
          <t>https://royanatlantiquevolleyball.fr/calendrier-2/</t>
        </is>
      </c>
      <c r="R342" s="10" t="n">
        <v>46311</v>
      </c>
      <c r="S342" s="9" t="inlineStr">
        <is>
          <t>Date du match de Royan (calendrier club) ; plage complète de la journée à confirmer sur lnv.fr. Compétition renommée D1M / Alterna Volstar par la LNV</t>
        </is>
      </c>
      <c r="T342" s="9">
        <f>IF(H342="","",IF(MAX(H342,I342)&lt;TODAY(),"Terminé",IF(H342&lt;=TODAY(),"En cours","À venir")))</f>
        <v/>
      </c>
    </row>
    <row r="343">
      <c r="A343" s="9" t="inlineStr">
        <is>
          <t>SPK-2627-015</t>
        </is>
      </c>
      <c r="B343" s="9" t="inlineStr">
        <is>
          <t>Volley-ball</t>
        </is>
      </c>
      <c r="C343" s="9" t="inlineStr">
        <is>
          <t>Marmara SpikeLigue</t>
        </is>
      </c>
      <c r="D343" s="9" t="inlineStr">
        <is>
          <t>2026-2027</t>
        </is>
      </c>
      <c r="E343" s="9" t="inlineStr">
        <is>
          <t>Saison régulière</t>
        </is>
      </c>
      <c r="F343" s="9" t="n">
        <v>16</v>
      </c>
      <c r="G343" s="9" t="inlineStr">
        <is>
          <t>Marmara SpikeLigue – Journée 16</t>
        </is>
      </c>
      <c r="H343" s="10" t="n">
        <v>46403</v>
      </c>
      <c r="I343" s="10" t="n">
        <v>46403</v>
      </c>
      <c r="J343" s="11" t="n"/>
      <c r="K343" s="9" t="inlineStr">
        <is>
          <t>Europe/Paris</t>
        </is>
      </c>
      <c r="L343" s="9" t="n"/>
      <c r="M343" s="9" t="inlineStr">
        <is>
          <t>France</t>
        </is>
      </c>
      <c r="N343" s="9" t="inlineStr">
        <is>
          <t>Hommes</t>
        </is>
      </c>
      <c r="O343" s="9" t="inlineStr">
        <is>
          <t>Provisoire</t>
        </is>
      </c>
      <c r="P343" s="9" t="inlineStr">
        <is>
          <t>Oui</t>
        </is>
      </c>
      <c r="Q343" s="9" t="inlineStr">
        <is>
          <t>https://royanatlantiquevolleyball.fr/calendrier-2/</t>
        </is>
      </c>
      <c r="R343" s="10" t="n">
        <v>46311</v>
      </c>
      <c r="S343" s="9" t="inlineStr">
        <is>
          <t>Date du match de Royan (calendrier club) ; plage complète de la journée à confirmer sur lnv.fr. Compétition renommée D1M / Alterna Volstar par la LNV</t>
        </is>
      </c>
      <c r="T343" s="9">
        <f>IF(H343="","",IF(MAX(H343,I343)&lt;TODAY(),"Terminé",IF(H343&lt;=TODAY(),"En cours","À venir")))</f>
        <v/>
      </c>
    </row>
    <row r="344">
      <c r="A344" s="9" t="inlineStr">
        <is>
          <t>SPK-2627-016</t>
        </is>
      </c>
      <c r="B344" s="9" t="inlineStr">
        <is>
          <t>Volley-ball</t>
        </is>
      </c>
      <c r="C344" s="9" t="inlineStr">
        <is>
          <t>Marmara SpikeLigue</t>
        </is>
      </c>
      <c r="D344" s="9" t="inlineStr">
        <is>
          <t>2026-2027</t>
        </is>
      </c>
      <c r="E344" s="9" t="inlineStr">
        <is>
          <t>Saison régulière</t>
        </is>
      </c>
      <c r="F344" s="9" t="n">
        <v>17</v>
      </c>
      <c r="G344" s="9" t="inlineStr">
        <is>
          <t>Marmara SpikeLigue – Journée 17</t>
        </is>
      </c>
      <c r="H344" s="10" t="n">
        <v>46409</v>
      </c>
      <c r="I344" s="10" t="n">
        <v>46409</v>
      </c>
      <c r="J344" s="11" t="n"/>
      <c r="K344" s="9" t="inlineStr">
        <is>
          <t>Europe/Paris</t>
        </is>
      </c>
      <c r="L344" s="9" t="n"/>
      <c r="M344" s="9" t="inlineStr">
        <is>
          <t>France</t>
        </is>
      </c>
      <c r="N344" s="9" t="inlineStr">
        <is>
          <t>Hommes</t>
        </is>
      </c>
      <c r="O344" s="9" t="inlineStr">
        <is>
          <t>Provisoire</t>
        </is>
      </c>
      <c r="P344" s="9" t="inlineStr">
        <is>
          <t>Oui</t>
        </is>
      </c>
      <c r="Q344" s="9" t="inlineStr">
        <is>
          <t>https://royanatlantiquevolleyball.fr/calendrier-2/</t>
        </is>
      </c>
      <c r="R344" s="10" t="n">
        <v>46311</v>
      </c>
      <c r="S344" s="9" t="inlineStr">
        <is>
          <t>Date du match de Royan (calendrier club) ; plage complète de la journée à confirmer sur lnv.fr. Compétition renommée D1M / Alterna Volstar par la LNV</t>
        </is>
      </c>
      <c r="T344" s="9">
        <f>IF(H344="","",IF(MAX(H344,I344)&lt;TODAY(),"Terminé",IF(H344&lt;=TODAY(),"En cours","À venir")))</f>
        <v/>
      </c>
    </row>
    <row r="345">
      <c r="A345" s="9" t="inlineStr">
        <is>
          <t>SPK-2627-017</t>
        </is>
      </c>
      <c r="B345" s="9" t="inlineStr">
        <is>
          <t>Volley-ball</t>
        </is>
      </c>
      <c r="C345" s="9" t="inlineStr">
        <is>
          <t>Marmara SpikeLigue</t>
        </is>
      </c>
      <c r="D345" s="9" t="inlineStr">
        <is>
          <t>2026-2027</t>
        </is>
      </c>
      <c r="E345" s="9" t="inlineStr">
        <is>
          <t>Saison régulière</t>
        </is>
      </c>
      <c r="F345" s="9" t="n">
        <v>18</v>
      </c>
      <c r="G345" s="9" t="inlineStr">
        <is>
          <t>Marmara SpikeLigue – Journée 18</t>
        </is>
      </c>
      <c r="H345" s="10" t="n">
        <v>46417</v>
      </c>
      <c r="I345" s="10" t="n">
        <v>46417</v>
      </c>
      <c r="J345" s="11" t="n"/>
      <c r="K345" s="9" t="inlineStr">
        <is>
          <t>Europe/Paris</t>
        </is>
      </c>
      <c r="L345" s="9" t="n"/>
      <c r="M345" s="9" t="inlineStr">
        <is>
          <t>France</t>
        </is>
      </c>
      <c r="N345" s="9" t="inlineStr">
        <is>
          <t>Hommes</t>
        </is>
      </c>
      <c r="O345" s="9" t="inlineStr">
        <is>
          <t>Provisoire</t>
        </is>
      </c>
      <c r="P345" s="9" t="inlineStr">
        <is>
          <t>Oui</t>
        </is>
      </c>
      <c r="Q345" s="9" t="inlineStr">
        <is>
          <t>https://royanatlantiquevolleyball.fr/calendrier-2/</t>
        </is>
      </c>
      <c r="R345" s="10" t="n">
        <v>46311</v>
      </c>
      <c r="S345" s="9" t="inlineStr">
        <is>
          <t>Date du match de Royan (calendrier club) ; plage complète de la journée à confirmer sur lnv.fr. Compétition renommée D1M / Alterna Volstar par la LNV</t>
        </is>
      </c>
      <c r="T345" s="9">
        <f>IF(H345="","",IF(MAX(H345,I345)&lt;TODAY(),"Terminé",IF(H345&lt;=TODAY(),"En cours","À venir")))</f>
        <v/>
      </c>
    </row>
    <row r="346">
      <c r="A346" s="9" t="inlineStr">
        <is>
          <t>SPK-2627-018</t>
        </is>
      </c>
      <c r="B346" s="9" t="inlineStr">
        <is>
          <t>Volley-ball</t>
        </is>
      </c>
      <c r="C346" s="9" t="inlineStr">
        <is>
          <t>Marmara SpikeLigue</t>
        </is>
      </c>
      <c r="D346" s="9" t="inlineStr">
        <is>
          <t>2026-2027</t>
        </is>
      </c>
      <c r="E346" s="9" t="inlineStr">
        <is>
          <t>Saison régulière</t>
        </is>
      </c>
      <c r="F346" s="9" t="n">
        <v>19</v>
      </c>
      <c r="G346" s="9" t="inlineStr">
        <is>
          <t>Marmara SpikeLigue – Journée 19</t>
        </is>
      </c>
      <c r="H346" s="10" t="n">
        <v>46420</v>
      </c>
      <c r="I346" s="10" t="n">
        <v>46420</v>
      </c>
      <c r="J346" s="11" t="n"/>
      <c r="K346" s="9" t="inlineStr">
        <is>
          <t>Europe/Paris</t>
        </is>
      </c>
      <c r="L346" s="9" t="n"/>
      <c r="M346" s="9" t="inlineStr">
        <is>
          <t>France</t>
        </is>
      </c>
      <c r="N346" s="9" t="inlineStr">
        <is>
          <t>Hommes</t>
        </is>
      </c>
      <c r="O346" s="9" t="inlineStr">
        <is>
          <t>Provisoire</t>
        </is>
      </c>
      <c r="P346" s="9" t="inlineStr">
        <is>
          <t>Oui</t>
        </is>
      </c>
      <c r="Q346" s="9" t="inlineStr">
        <is>
          <t>https://royanatlantiquevolleyball.fr/calendrier-2/</t>
        </is>
      </c>
      <c r="R346" s="10" t="n">
        <v>46311</v>
      </c>
      <c r="S346" s="9" t="inlineStr">
        <is>
          <t>Date du match de Royan (calendrier club) ; plage complète de la journée à confirmer sur lnv.fr. Compétition renommée D1M / Alterna Volstar par la LNV</t>
        </is>
      </c>
      <c r="T346" s="9">
        <f>IF(H346="","",IF(MAX(H346,I346)&lt;TODAY(),"Terminé",IF(H346&lt;=TODAY(),"En cours","À venir")))</f>
        <v/>
      </c>
    </row>
    <row r="347">
      <c r="A347" s="9" t="inlineStr">
        <is>
          <t>SPK-2627-019</t>
        </is>
      </c>
      <c r="B347" s="9" t="inlineStr">
        <is>
          <t>Volley-ball</t>
        </is>
      </c>
      <c r="C347" s="9" t="inlineStr">
        <is>
          <t>Marmara SpikeLigue</t>
        </is>
      </c>
      <c r="D347" s="9" t="inlineStr">
        <is>
          <t>2026-2027</t>
        </is>
      </c>
      <c r="E347" s="9" t="inlineStr">
        <is>
          <t>Saison régulière</t>
        </is>
      </c>
      <c r="F347" s="9" t="n">
        <v>20</v>
      </c>
      <c r="G347" s="9" t="inlineStr">
        <is>
          <t>Marmara SpikeLigue – Journée 20</t>
        </is>
      </c>
      <c r="H347" s="10" t="n">
        <v>46424</v>
      </c>
      <c r="I347" s="10" t="n">
        <v>46424</v>
      </c>
      <c r="J347" s="11" t="n"/>
      <c r="K347" s="9" t="inlineStr">
        <is>
          <t>Europe/Paris</t>
        </is>
      </c>
      <c r="L347" s="9" t="n"/>
      <c r="M347" s="9" t="inlineStr">
        <is>
          <t>France</t>
        </is>
      </c>
      <c r="N347" s="9" t="inlineStr">
        <is>
          <t>Hommes</t>
        </is>
      </c>
      <c r="O347" s="9" t="inlineStr">
        <is>
          <t>Provisoire</t>
        </is>
      </c>
      <c r="P347" s="9" t="inlineStr">
        <is>
          <t>Oui</t>
        </is>
      </c>
      <c r="Q347" s="9" t="inlineStr">
        <is>
          <t>https://royanatlantiquevolleyball.fr/calendrier-2/</t>
        </is>
      </c>
      <c r="R347" s="10" t="n">
        <v>46311</v>
      </c>
      <c r="S347" s="9" t="inlineStr">
        <is>
          <t>Date du match de Royan (calendrier club) ; plage complète de la journée à confirmer sur lnv.fr. Compétition renommée D1M / Alterna Volstar par la LNV</t>
        </is>
      </c>
      <c r="T347" s="9">
        <f>IF(H347="","",IF(MAX(H347,I347)&lt;TODAY(),"Terminé",IF(H347&lt;=TODAY(),"En cours","À venir")))</f>
        <v/>
      </c>
    </row>
    <row r="348">
      <c r="A348" s="9" t="inlineStr">
        <is>
          <t>SPK-2627-020</t>
        </is>
      </c>
      <c r="B348" s="9" t="inlineStr">
        <is>
          <t>Volley-ball</t>
        </is>
      </c>
      <c r="C348" s="9" t="inlineStr">
        <is>
          <t>Marmara SpikeLigue</t>
        </is>
      </c>
      <c r="D348" s="9" t="inlineStr">
        <is>
          <t>2026-2027</t>
        </is>
      </c>
      <c r="E348" s="9" t="inlineStr">
        <is>
          <t>Saison régulière</t>
        </is>
      </c>
      <c r="F348" s="9" t="n">
        <v>21</v>
      </c>
      <c r="G348" s="9" t="inlineStr">
        <is>
          <t>Marmara SpikeLigue – Journée 21</t>
        </is>
      </c>
      <c r="H348" s="10" t="n">
        <v>46430</v>
      </c>
      <c r="I348" s="10" t="n">
        <v>46430</v>
      </c>
      <c r="J348" s="11" t="n"/>
      <c r="K348" s="9" t="inlineStr">
        <is>
          <t>Europe/Paris</t>
        </is>
      </c>
      <c r="L348" s="9" t="n"/>
      <c r="M348" s="9" t="inlineStr">
        <is>
          <t>France</t>
        </is>
      </c>
      <c r="N348" s="9" t="inlineStr">
        <is>
          <t>Hommes</t>
        </is>
      </c>
      <c r="O348" s="9" t="inlineStr">
        <is>
          <t>Provisoire</t>
        </is>
      </c>
      <c r="P348" s="9" t="inlineStr">
        <is>
          <t>Oui</t>
        </is>
      </c>
      <c r="Q348" s="9" t="inlineStr">
        <is>
          <t>https://royanatlantiquevolleyball.fr/calendrier-2/</t>
        </is>
      </c>
      <c r="R348" s="10" t="n">
        <v>46311</v>
      </c>
      <c r="S348" s="9" t="inlineStr">
        <is>
          <t>Date du match de Royan (calendrier club) ; plage complète de la journée à confirmer sur lnv.fr. Compétition renommée D1M / Alterna Volstar par la LNV</t>
        </is>
      </c>
      <c r="T348" s="9">
        <f>IF(H348="","",IF(MAX(H348,I348)&lt;TODAY(),"Terminé",IF(H348&lt;=TODAY(),"En cours","À venir")))</f>
        <v/>
      </c>
    </row>
    <row r="349">
      <c r="A349" s="9" t="inlineStr">
        <is>
          <t>SPK-2627-021</t>
        </is>
      </c>
      <c r="B349" s="9" t="inlineStr">
        <is>
          <t>Volley-ball</t>
        </is>
      </c>
      <c r="C349" s="9" t="inlineStr">
        <is>
          <t>Marmara SpikeLigue</t>
        </is>
      </c>
      <c r="D349" s="9" t="inlineStr">
        <is>
          <t>2026-2027</t>
        </is>
      </c>
      <c r="E349" s="9" t="inlineStr">
        <is>
          <t>Saison régulière</t>
        </is>
      </c>
      <c r="F349" s="9" t="n">
        <v>22</v>
      </c>
      <c r="G349" s="9" t="inlineStr">
        <is>
          <t>Marmara SpikeLigue – Journée 22</t>
        </is>
      </c>
      <c r="H349" s="10" t="n">
        <v>46438</v>
      </c>
      <c r="I349" s="10" t="n">
        <v>46438</v>
      </c>
      <c r="J349" s="11" t="n"/>
      <c r="K349" s="9" t="inlineStr">
        <is>
          <t>Europe/Paris</t>
        </is>
      </c>
      <c r="L349" s="9" t="n"/>
      <c r="M349" s="9" t="inlineStr">
        <is>
          <t>France</t>
        </is>
      </c>
      <c r="N349" s="9" t="inlineStr">
        <is>
          <t>Hommes</t>
        </is>
      </c>
      <c r="O349" s="9" t="inlineStr">
        <is>
          <t>Provisoire</t>
        </is>
      </c>
      <c r="P349" s="9" t="inlineStr">
        <is>
          <t>Oui</t>
        </is>
      </c>
      <c r="Q349" s="9" t="inlineStr">
        <is>
          <t>https://royanatlantiquevolleyball.fr/calendrier-2/</t>
        </is>
      </c>
      <c r="R349" s="10" t="n">
        <v>46311</v>
      </c>
      <c r="S349" s="9" t="inlineStr">
        <is>
          <t>Date du match de Royan (calendrier club) ; plage complète de la journée à confirmer sur lnv.fr. Compétition renommée D1M / Alterna Volstar par la LNV</t>
        </is>
      </c>
      <c r="T349" s="9">
        <f>IF(H349="","",IF(MAX(H349,I349)&lt;TODAY(),"Terminé",IF(H349&lt;=TODAY(),"En cours","À venir")))</f>
        <v/>
      </c>
    </row>
    <row r="350">
      <c r="A350" s="9" t="inlineStr">
        <is>
          <t>SPK-2627-022</t>
        </is>
      </c>
      <c r="B350" s="9" t="inlineStr">
        <is>
          <t>Volley-ball</t>
        </is>
      </c>
      <c r="C350" s="9" t="inlineStr">
        <is>
          <t>Marmara SpikeLigue</t>
        </is>
      </c>
      <c r="D350" s="9" t="inlineStr">
        <is>
          <t>2026-2027</t>
        </is>
      </c>
      <c r="E350" s="9" t="inlineStr">
        <is>
          <t>Saison régulière</t>
        </is>
      </c>
      <c r="F350" s="9" t="n">
        <v>23</v>
      </c>
      <c r="G350" s="9" t="inlineStr">
        <is>
          <t>Marmara SpikeLigue – Journée 23</t>
        </is>
      </c>
      <c r="H350" s="10" t="n">
        <v>46445</v>
      </c>
      <c r="I350" s="10" t="n">
        <v>46445</v>
      </c>
      <c r="J350" s="11" t="n"/>
      <c r="K350" s="9" t="inlineStr">
        <is>
          <t>Europe/Paris</t>
        </is>
      </c>
      <c r="L350" s="9" t="n"/>
      <c r="M350" s="9" t="inlineStr">
        <is>
          <t>France</t>
        </is>
      </c>
      <c r="N350" s="9" t="inlineStr">
        <is>
          <t>Hommes</t>
        </is>
      </c>
      <c r="O350" s="9" t="inlineStr">
        <is>
          <t>Provisoire</t>
        </is>
      </c>
      <c r="P350" s="9" t="inlineStr">
        <is>
          <t>Oui</t>
        </is>
      </c>
      <c r="Q350" s="9" t="inlineStr">
        <is>
          <t>https://royanatlantiquevolleyball.fr/calendrier-2/</t>
        </is>
      </c>
      <c r="R350" s="10" t="n">
        <v>46311</v>
      </c>
      <c r="S350" s="9" t="inlineStr">
        <is>
          <t>Date du match de Royan (calendrier club) ; plage complète de la journée à confirmer sur lnv.fr. Compétition renommée D1M / Alterna Volstar par la LNV</t>
        </is>
      </c>
      <c r="T350" s="9">
        <f>IF(H350="","",IF(MAX(H350,I350)&lt;TODAY(),"Terminé",IF(H350&lt;=TODAY(),"En cours","À venir")))</f>
        <v/>
      </c>
    </row>
    <row r="351">
      <c r="A351" s="9" t="inlineStr">
        <is>
          <t>SPK-2627-023</t>
        </is>
      </c>
      <c r="B351" s="9" t="inlineStr">
        <is>
          <t>Volley-ball</t>
        </is>
      </c>
      <c r="C351" s="9" t="inlineStr">
        <is>
          <t>Marmara SpikeLigue</t>
        </is>
      </c>
      <c r="D351" s="9" t="inlineStr">
        <is>
          <t>2026-2027</t>
        </is>
      </c>
      <c r="E351" s="9" t="inlineStr">
        <is>
          <t>Saison régulière</t>
        </is>
      </c>
      <c r="F351" s="9" t="n">
        <v>24</v>
      </c>
      <c r="G351" s="9" t="inlineStr">
        <is>
          <t>Marmara SpikeLigue – Journée 24</t>
        </is>
      </c>
      <c r="H351" s="10" t="n">
        <v>46451</v>
      </c>
      <c r="I351" s="10" t="n">
        <v>46451</v>
      </c>
      <c r="J351" s="11" t="n"/>
      <c r="K351" s="9" t="inlineStr">
        <is>
          <t>Europe/Paris</t>
        </is>
      </c>
      <c r="L351" s="9" t="n"/>
      <c r="M351" s="9" t="inlineStr">
        <is>
          <t>France</t>
        </is>
      </c>
      <c r="N351" s="9" t="inlineStr">
        <is>
          <t>Hommes</t>
        </is>
      </c>
      <c r="O351" s="9" t="inlineStr">
        <is>
          <t>Provisoire</t>
        </is>
      </c>
      <c r="P351" s="9" t="inlineStr">
        <is>
          <t>Oui</t>
        </is>
      </c>
      <c r="Q351" s="9" t="inlineStr">
        <is>
          <t>https://royanatlantiquevolleyball.fr/calendrier-2/</t>
        </is>
      </c>
      <c r="R351" s="10" t="n">
        <v>46311</v>
      </c>
      <c r="S351" s="9" t="inlineStr">
        <is>
          <t>Date du match de Royan (calendrier club) ; plage complète de la journée à confirmer sur lnv.fr. Compétition renommée D1M / Alterna Volstar par la LNV</t>
        </is>
      </c>
      <c r="T351" s="9">
        <f>IF(H351="","",IF(MAX(H351,I351)&lt;TODAY(),"Terminé",IF(H351&lt;=TODAY(),"En cours","À venir")))</f>
        <v/>
      </c>
    </row>
    <row r="352">
      <c r="A352" s="9" t="inlineStr">
        <is>
          <t>SPK-2627-024</t>
        </is>
      </c>
      <c r="B352" s="9" t="inlineStr">
        <is>
          <t>Volley-ball</t>
        </is>
      </c>
      <c r="C352" s="9" t="inlineStr">
        <is>
          <t>Marmara SpikeLigue</t>
        </is>
      </c>
      <c r="D352" s="9" t="inlineStr">
        <is>
          <t>2026-2027</t>
        </is>
      </c>
      <c r="E352" s="9" t="inlineStr">
        <is>
          <t>Saison régulière</t>
        </is>
      </c>
      <c r="F352" s="9" t="n">
        <v>25</v>
      </c>
      <c r="G352" s="9" t="inlineStr">
        <is>
          <t>Marmara SpikeLigue – Journée 25</t>
        </is>
      </c>
      <c r="H352" s="10" t="n">
        <v>46459</v>
      </c>
      <c r="I352" s="10" t="n">
        <v>46459</v>
      </c>
      <c r="J352" s="11" t="n"/>
      <c r="K352" s="9" t="inlineStr">
        <is>
          <t>Europe/Paris</t>
        </is>
      </c>
      <c r="L352" s="9" t="n"/>
      <c r="M352" s="9" t="inlineStr">
        <is>
          <t>France</t>
        </is>
      </c>
      <c r="N352" s="9" t="inlineStr">
        <is>
          <t>Hommes</t>
        </is>
      </c>
      <c r="O352" s="9" t="inlineStr">
        <is>
          <t>Provisoire</t>
        </is>
      </c>
      <c r="P352" s="9" t="inlineStr">
        <is>
          <t>Oui</t>
        </is>
      </c>
      <c r="Q352" s="9" t="inlineStr">
        <is>
          <t>https://royanatlantiquevolleyball.fr/calendrier-2/</t>
        </is>
      </c>
      <c r="R352" s="10" t="n">
        <v>46311</v>
      </c>
      <c r="S352" s="9" t="inlineStr">
        <is>
          <t>Date du match de Royan (calendrier club) ; plage complète de la journée à confirmer sur lnv.fr. Compétition renommée D1M / Alterna Volstar par la LNV</t>
        </is>
      </c>
      <c r="T352" s="9">
        <f>IF(H352="","",IF(MAX(H352,I352)&lt;TODAY(),"Terminé",IF(H352&lt;=TODAY(),"En cours","À venir")))</f>
        <v/>
      </c>
    </row>
    <row r="353">
      <c r="A353" s="9" t="inlineStr">
        <is>
          <t>SPK-2627-025</t>
        </is>
      </c>
      <c r="B353" s="9" t="inlineStr">
        <is>
          <t>Volley-ball</t>
        </is>
      </c>
      <c r="C353" s="9" t="inlineStr">
        <is>
          <t>Marmara SpikeLigue</t>
        </is>
      </c>
      <c r="D353" s="9" t="inlineStr">
        <is>
          <t>2026-2027</t>
        </is>
      </c>
      <c r="E353" s="9" t="inlineStr">
        <is>
          <t>Saison régulière</t>
        </is>
      </c>
      <c r="F353" s="9" t="n">
        <v>26</v>
      </c>
      <c r="G353" s="9" t="inlineStr">
        <is>
          <t>Marmara SpikeLigue – Journée 26</t>
        </is>
      </c>
      <c r="H353" s="10" t="n">
        <v>46466</v>
      </c>
      <c r="I353" s="10" t="n">
        <v>46466</v>
      </c>
      <c r="J353" s="11" t="n"/>
      <c r="K353" s="9" t="inlineStr">
        <is>
          <t>Europe/Paris</t>
        </is>
      </c>
      <c r="L353" s="9" t="n"/>
      <c r="M353" s="9" t="inlineStr">
        <is>
          <t>France</t>
        </is>
      </c>
      <c r="N353" s="9" t="inlineStr">
        <is>
          <t>Hommes</t>
        </is>
      </c>
      <c r="O353" s="9" t="inlineStr">
        <is>
          <t>Provisoire</t>
        </is>
      </c>
      <c r="P353" s="9" t="inlineStr">
        <is>
          <t>Oui</t>
        </is>
      </c>
      <c r="Q353" s="9" t="inlineStr">
        <is>
          <t>https://royanatlantiquevolleyball.fr/calendrier-2/</t>
        </is>
      </c>
      <c r="R353" s="10" t="n">
        <v>46311</v>
      </c>
      <c r="S353" s="9" t="inlineStr">
        <is>
          <t>Date du match de Royan (calendrier club) ; plage complète de la journée à confirmer sur lnv.fr. Compétition renommée D1M / Alterna Volstar par la LNV</t>
        </is>
      </c>
      <c r="T353" s="9">
        <f>IF(H353="","",IF(MAX(H353,I353)&lt;TODAY(),"Terminé",IF(H353&lt;=TODAY(),"En cours","À venir")))</f>
        <v/>
      </c>
    </row>
    <row r="354">
      <c r="A354" s="9" t="inlineStr">
        <is>
          <t>SPK-2627-026</t>
        </is>
      </c>
      <c r="B354" s="9" t="inlineStr">
        <is>
          <t>Volley-ball</t>
        </is>
      </c>
      <c r="C354" s="9" t="inlineStr">
        <is>
          <t>Marmara SpikeLigue</t>
        </is>
      </c>
      <c r="D354" s="9" t="inlineStr">
        <is>
          <t>2026-2027</t>
        </is>
      </c>
      <c r="E354" s="9" t="inlineStr">
        <is>
          <t>Play-offs – Demi-finales</t>
        </is>
      </c>
      <c r="F354" s="9" t="n"/>
      <c r="G354" s="9" t="inlineStr">
        <is>
          <t>Marmara SpikeLigue – Demi-finales</t>
        </is>
      </c>
      <c r="H354" s="10" t="n"/>
      <c r="I354" s="10" t="n"/>
      <c r="J354" s="11" t="n"/>
      <c r="K354" s="9" t="inlineStr">
        <is>
          <t>Europe/Paris</t>
        </is>
      </c>
      <c r="L354" s="9" t="n"/>
      <c r="M354" s="9" t="inlineStr">
        <is>
          <t>France</t>
        </is>
      </c>
      <c r="N354" s="9" t="inlineStr">
        <is>
          <t>Hommes</t>
        </is>
      </c>
      <c r="O354" s="9" t="inlineStr">
        <is>
          <t>À confirmer</t>
        </is>
      </c>
      <c r="P354" s="9" t="inlineStr">
        <is>
          <t>Oui</t>
        </is>
      </c>
      <c r="Q354" s="9" t="inlineStr">
        <is>
          <t>https://lnv.fr/actualites/2026-08-17/decouvrez-les-calendriers</t>
        </is>
      </c>
      <c r="R354" s="10" t="n">
        <v>46311</v>
      </c>
      <c r="S354" s="9" t="inlineStr">
        <is>
          <t>Dates 2027 non publiées/non vérifiées ; format 2026 : play-in 7e-10e puis séries</t>
        </is>
      </c>
      <c r="T354" s="9">
        <f>IF(H354="","",IF(MAX(H354,I354)&lt;TODAY(),"Terminé",IF(H354&lt;=TODAY(),"En cours","À venir")))</f>
        <v/>
      </c>
    </row>
    <row r="355">
      <c r="A355" s="9" t="inlineStr">
        <is>
          <t>SPK-2627-027</t>
        </is>
      </c>
      <c r="B355" s="9" t="inlineStr">
        <is>
          <t>Volley-ball</t>
        </is>
      </c>
      <c r="C355" s="9" t="inlineStr">
        <is>
          <t>Marmara SpikeLigue</t>
        </is>
      </c>
      <c r="D355" s="9" t="inlineStr">
        <is>
          <t>2026-2027</t>
        </is>
      </c>
      <c r="E355" s="9" t="inlineStr">
        <is>
          <t>Play-offs – Finale</t>
        </is>
      </c>
      <c r="F355" s="9" t="n"/>
      <c r="G355" s="9" t="inlineStr">
        <is>
          <t>Marmara SpikeLigue – Finale</t>
        </is>
      </c>
      <c r="H355" s="10" t="n"/>
      <c r="I355" s="10" t="n"/>
      <c r="J355" s="11" t="n"/>
      <c r="K355" s="9" t="inlineStr">
        <is>
          <t>Europe/Paris</t>
        </is>
      </c>
      <c r="L355" s="9" t="n"/>
      <c r="M355" s="9" t="inlineStr">
        <is>
          <t>France</t>
        </is>
      </c>
      <c r="N355" s="9" t="inlineStr">
        <is>
          <t>Hommes</t>
        </is>
      </c>
      <c r="O355" s="9" t="inlineStr">
        <is>
          <t>À confirmer</t>
        </is>
      </c>
      <c r="P355" s="9" t="inlineStr">
        <is>
          <t>Oui</t>
        </is>
      </c>
      <c r="Q355" s="9" t="inlineStr">
        <is>
          <t>https://lnv.fr/actualites/2026-08-17/decouvrez-les-calendriers</t>
        </is>
      </c>
      <c r="R355" s="10" t="n">
        <v>46311</v>
      </c>
      <c r="S355" s="9" t="inlineStr">
        <is>
          <t>Dates 2027 non publiées/non vérifiées ; format 2026 : play-in 7e-10e puis séries</t>
        </is>
      </c>
      <c r="T355" s="9">
        <f>IF(H355="","",IF(MAX(H355,I355)&lt;TODAY(),"Terminé",IF(H355&lt;=TODAY(),"En cours","À venir")))</f>
        <v/>
      </c>
    </row>
    <row r="356">
      <c r="A356" s="9" t="inlineStr">
        <is>
          <t>SPK-2627-028</t>
        </is>
      </c>
      <c r="B356" s="9" t="inlineStr">
        <is>
          <t>Volley-ball</t>
        </is>
      </c>
      <c r="C356" s="9" t="inlineStr">
        <is>
          <t>Marmara SpikeLigue</t>
        </is>
      </c>
      <c r="D356" s="9" t="inlineStr">
        <is>
          <t>2026-2027</t>
        </is>
      </c>
      <c r="E356" s="9" t="inlineStr">
        <is>
          <t>Saison régulière</t>
        </is>
      </c>
      <c r="F356" s="9" t="n">
        <v>7</v>
      </c>
      <c r="G356" s="9" t="inlineStr">
        <is>
          <t>Marmara SpikeLigue – Journée 7</t>
        </is>
      </c>
      <c r="H356" s="10" t="n"/>
      <c r="I356" s="10" t="n"/>
      <c r="J356" s="11" t="n"/>
      <c r="K356" s="9" t="inlineStr">
        <is>
          <t>Europe/Paris</t>
        </is>
      </c>
      <c r="L356" s="9" t="n"/>
      <c r="M356" s="9" t="inlineStr">
        <is>
          <t>France</t>
        </is>
      </c>
      <c r="N356" s="9" t="inlineStr">
        <is>
          <t>Hommes</t>
        </is>
      </c>
      <c r="O356" s="9" t="inlineStr">
        <is>
          <t>À confirmer</t>
        </is>
      </c>
      <c r="P356" s="9" t="inlineStr">
        <is>
          <t>Oui</t>
        </is>
      </c>
      <c r="Q356" s="9" t="inlineStr">
        <is>
          <t>https://royanatlantiquevolleyball.fr/calendrier-2/</t>
        </is>
      </c>
      <c r="R356" s="10" t="n">
        <v>46311</v>
      </c>
      <c r="S356" s="9" t="inlineStr">
        <is>
          <t>Date non trouvée (entre J6 du 13/11 et J8 du 28/11)</t>
        </is>
      </c>
      <c r="T356" s="9">
        <f>IF(H356="","",IF(MAX(H356,I356)&lt;TODAY(),"Terminé",IF(H356&lt;=TODAY(),"En cours","À venir")))</f>
        <v/>
      </c>
    </row>
    <row r="357">
      <c r="A357" s="9" t="inlineStr">
        <is>
          <t>SPK-2627-029</t>
        </is>
      </c>
      <c r="B357" s="9" t="inlineStr">
        <is>
          <t>Volley-ball</t>
        </is>
      </c>
      <c r="C357" s="9" t="inlineStr">
        <is>
          <t>Marmara SpikeLigue</t>
        </is>
      </c>
      <c r="D357" s="9" t="inlineStr">
        <is>
          <t>2026-2027</t>
        </is>
      </c>
      <c r="E357" s="9" t="inlineStr">
        <is>
          <t>Play-offs – Play-in</t>
        </is>
      </c>
      <c r="F357" s="9" t="n"/>
      <c r="G357" s="9" t="inlineStr">
        <is>
          <t>Marmara SpikeLigue – Play-in</t>
        </is>
      </c>
      <c r="H357" s="10" t="n"/>
      <c r="I357" s="10" t="n"/>
      <c r="J357" s="11" t="n"/>
      <c r="K357" s="9" t="inlineStr">
        <is>
          <t>Europe/Paris</t>
        </is>
      </c>
      <c r="L357" s="9" t="n"/>
      <c r="M357" s="9" t="inlineStr">
        <is>
          <t>France</t>
        </is>
      </c>
      <c r="N357" s="9" t="inlineStr">
        <is>
          <t>Hommes</t>
        </is>
      </c>
      <c r="O357" s="9" t="inlineStr">
        <is>
          <t>À confirmer</t>
        </is>
      </c>
      <c r="P357" s="9" t="inlineStr">
        <is>
          <t>Oui</t>
        </is>
      </c>
      <c r="Q357" s="9" t="inlineStr">
        <is>
          <t>https://lnv.fr/actualites/2026-08-17/decouvrez-les-calendriers</t>
        </is>
      </c>
      <c r="R357" s="10" t="n">
        <v>46311</v>
      </c>
      <c r="S357" s="9" t="inlineStr">
        <is>
          <t>Dates 2027 non publiées/non vérifiées ; format 2026 : play-in 7e-10e puis séries</t>
        </is>
      </c>
      <c r="T357" s="9">
        <f>IF(H357="","",IF(MAX(H357,I357)&lt;TODAY(),"Terminé",IF(H357&lt;=TODAY(),"En cours","À venir")))</f>
        <v/>
      </c>
    </row>
    <row r="358">
      <c r="A358" s="9" t="inlineStr">
        <is>
          <t>SPK-2627-030</t>
        </is>
      </c>
      <c r="B358" s="9" t="inlineStr">
        <is>
          <t>Volley-ball</t>
        </is>
      </c>
      <c r="C358" s="9" t="inlineStr">
        <is>
          <t>Marmara SpikeLigue</t>
        </is>
      </c>
      <c r="D358" s="9" t="inlineStr">
        <is>
          <t>2026-2027</t>
        </is>
      </c>
      <c r="E358" s="9" t="inlineStr">
        <is>
          <t>Play-offs – Quarts</t>
        </is>
      </c>
      <c r="F358" s="9" t="n"/>
      <c r="G358" s="9" t="inlineStr">
        <is>
          <t>Marmara SpikeLigue – Quarts de finale</t>
        </is>
      </c>
      <c r="H358" s="10" t="n"/>
      <c r="I358" s="10" t="n"/>
      <c r="J358" s="11" t="n"/>
      <c r="K358" s="9" t="inlineStr">
        <is>
          <t>Europe/Paris</t>
        </is>
      </c>
      <c r="L358" s="9" t="n"/>
      <c r="M358" s="9" t="inlineStr">
        <is>
          <t>France</t>
        </is>
      </c>
      <c r="N358" s="9" t="inlineStr">
        <is>
          <t>Hommes</t>
        </is>
      </c>
      <c r="O358" s="9" t="inlineStr">
        <is>
          <t>À confirmer</t>
        </is>
      </c>
      <c r="P358" s="9" t="inlineStr">
        <is>
          <t>Oui</t>
        </is>
      </c>
      <c r="Q358" s="9" t="inlineStr">
        <is>
          <t>https://lnv.fr/actualites/2026-08-17/decouvrez-les-calendriers</t>
        </is>
      </c>
      <c r="R358" s="10" t="n">
        <v>46311</v>
      </c>
      <c r="S358" s="9" t="inlineStr">
        <is>
          <t>Dates 2027 non publiées/non vérifiées ; format 2026 : play-in 7e-10e puis séries</t>
        </is>
      </c>
      <c r="T358" s="9">
        <f>IF(H358="","",IF(MAX(H358,I358)&lt;TODAY(),"Terminé",IF(H358&lt;=TODAY(),"En cours","À venir")))</f>
        <v/>
      </c>
    </row>
    <row r="359">
      <c r="A359" s="9" t="inlineStr">
        <is>
          <t>NBA-2627-001</t>
        </is>
      </c>
      <c r="B359" s="9" t="inlineStr">
        <is>
          <t>Basketball</t>
        </is>
      </c>
      <c r="C359" s="9" t="inlineStr">
        <is>
          <t>NBA</t>
        </is>
      </c>
      <c r="D359" s="9" t="inlineStr">
        <is>
          <t>2026-2027</t>
        </is>
      </c>
      <c r="E359" s="9" t="inlineStr">
        <is>
          <t>Saison régulière</t>
        </is>
      </c>
      <c r="F359" s="9" t="n">
        <v>1</v>
      </c>
      <c r="G359" s="9" t="inlineStr">
        <is>
          <t>NBA – Semaine 1</t>
        </is>
      </c>
      <c r="H359" s="10" t="n">
        <v>46315</v>
      </c>
      <c r="I359" s="10" t="n">
        <v>46320</v>
      </c>
      <c r="J359" s="11" t="n"/>
      <c r="K359" s="9" t="inlineStr">
        <is>
          <t>Europe/Paris</t>
        </is>
      </c>
      <c r="L359" s="9" t="n"/>
      <c r="M359" s="9" t="inlineStr">
        <is>
          <t>États-Unis</t>
        </is>
      </c>
      <c r="N359" s="9" t="inlineStr">
        <is>
          <t>Hommes</t>
        </is>
      </c>
      <c r="O359" s="9" t="inlineStr">
        <is>
          <t>Officiel</t>
        </is>
      </c>
      <c r="P359" s="9" t="inlineStr">
        <is>
          <t>Oui</t>
        </is>
      </c>
      <c r="Q359" s="9" t="inlineStr">
        <is>
          <t>https://www.nba.com/news/2026-27-schedule-announced</t>
        </is>
      </c>
      <c r="R359" s="10" t="n">
        <v>46311</v>
      </c>
      <c r="S359" s="9" t="inlineStr">
        <is>
          <t>Semaine courte : ouverture mardi 20/10</t>
        </is>
      </c>
      <c r="T359" s="9">
        <f>IF(H359="","",IF(MAX(H359,I359)&lt;TODAY(),"Terminé",IF(H359&lt;=TODAY(),"En cours","À venir")))</f>
        <v/>
      </c>
    </row>
    <row r="360">
      <c r="A360" s="9" t="inlineStr">
        <is>
          <t>NBA-2627-002</t>
        </is>
      </c>
      <c r="B360" s="9" t="inlineStr">
        <is>
          <t>Basketball</t>
        </is>
      </c>
      <c r="C360" s="9" t="inlineStr">
        <is>
          <t>NBA</t>
        </is>
      </c>
      <c r="D360" s="9" t="inlineStr">
        <is>
          <t>2026-2027</t>
        </is>
      </c>
      <c r="E360" s="9" t="inlineStr">
        <is>
          <t>Saison régulière</t>
        </is>
      </c>
      <c r="F360" s="9" t="n"/>
      <c r="G360" s="9" t="inlineStr">
        <is>
          <t>NBA – Soirée d'ouverture</t>
        </is>
      </c>
      <c r="H360" s="10" t="n">
        <v>46315</v>
      </c>
      <c r="I360" s="10" t="n">
        <v>46315</v>
      </c>
      <c r="J360" s="11" t="n"/>
      <c r="K360" s="9" t="inlineStr">
        <is>
          <t>Europe/Paris</t>
        </is>
      </c>
      <c r="L360" s="9" t="n"/>
      <c r="M360" s="9" t="inlineStr">
        <is>
          <t>États-Unis</t>
        </is>
      </c>
      <c r="N360" s="9" t="inlineStr">
        <is>
          <t>Hommes</t>
        </is>
      </c>
      <c r="O360" s="9" t="inlineStr">
        <is>
          <t>Officiel</t>
        </is>
      </c>
      <c r="P360" s="9" t="inlineStr">
        <is>
          <t>Oui</t>
        </is>
      </c>
      <c r="Q360" s="9" t="inlineStr">
        <is>
          <t>https://www.nba.com/news/2026-27-schedule-announced</t>
        </is>
      </c>
      <c r="R360" s="10" t="n">
        <v>46311</v>
      </c>
      <c r="S360" s="9" t="inlineStr">
        <is>
          <t>Celtics–Pistons, 76ers@Knicks, Thunder@Spurs</t>
        </is>
      </c>
      <c r="T360" s="9">
        <f>IF(H360="","",IF(MAX(H360,I360)&lt;TODAY(),"Terminé",IF(H360&lt;=TODAY(),"En cours","À venir")))</f>
        <v/>
      </c>
    </row>
    <row r="361">
      <c r="A361" s="9" t="inlineStr">
        <is>
          <t>NBA-2627-003</t>
        </is>
      </c>
      <c r="B361" s="9" t="inlineStr">
        <is>
          <t>Basketball</t>
        </is>
      </c>
      <c r="C361" s="9" t="inlineStr">
        <is>
          <t>NBA</t>
        </is>
      </c>
      <c r="D361" s="9" t="inlineStr">
        <is>
          <t>2026-2027</t>
        </is>
      </c>
      <c r="E361" s="9" t="inlineStr">
        <is>
          <t>Saison régulière</t>
        </is>
      </c>
      <c r="F361" s="9" t="n">
        <v>2</v>
      </c>
      <c r="G361" s="9" t="inlineStr">
        <is>
          <t>NBA – Semaine 2</t>
        </is>
      </c>
      <c r="H361" s="10" t="n">
        <v>46321</v>
      </c>
      <c r="I361" s="10" t="n">
        <v>46327</v>
      </c>
      <c r="J361" s="11" t="n"/>
      <c r="K361" s="9" t="inlineStr">
        <is>
          <t>Europe/Paris</t>
        </is>
      </c>
      <c r="L361" s="9" t="n"/>
      <c r="M361" s="9" t="inlineStr">
        <is>
          <t>États-Unis</t>
        </is>
      </c>
      <c r="N361" s="9" t="inlineStr">
        <is>
          <t>Hommes</t>
        </is>
      </c>
      <c r="O361" s="9" t="inlineStr">
        <is>
          <t>Officiel</t>
        </is>
      </c>
      <c r="P361" s="9" t="inlineStr">
        <is>
          <t>Oui</t>
        </is>
      </c>
      <c r="Q361" s="9" t="inlineStr">
        <is>
          <t>https://www.nba.com/news/2026-27-schedule-announced</t>
        </is>
      </c>
      <c r="R361" s="10" t="n">
        <v>46311</v>
      </c>
      <c r="S361" s="9" t="n"/>
      <c r="T361" s="9">
        <f>IF(H361="","",IF(MAX(H361,I361)&lt;TODAY(),"Terminé",IF(H361&lt;=TODAY(),"En cours","À venir")))</f>
        <v/>
      </c>
    </row>
    <row r="362">
      <c r="A362" s="9" t="inlineStr">
        <is>
          <t>NBA-2627-004</t>
        </is>
      </c>
      <c r="B362" s="9" t="inlineStr">
        <is>
          <t>Basketball</t>
        </is>
      </c>
      <c r="C362" s="9" t="inlineStr">
        <is>
          <t>NBA</t>
        </is>
      </c>
      <c r="D362" s="9" t="inlineStr">
        <is>
          <t>2026-2027</t>
        </is>
      </c>
      <c r="E362" s="9" t="inlineStr">
        <is>
          <t>NBA Cup</t>
        </is>
      </c>
      <c r="F362" s="9" t="n"/>
      <c r="G362" s="9" t="inlineStr">
        <is>
          <t>NBA Cup – Phase de groupes</t>
        </is>
      </c>
      <c r="H362" s="10" t="n">
        <v>46325</v>
      </c>
      <c r="I362" s="10" t="n">
        <v>46353</v>
      </c>
      <c r="J362" s="11" t="n"/>
      <c r="K362" s="9" t="inlineStr">
        <is>
          <t>Europe/Paris</t>
        </is>
      </c>
      <c r="L362" s="9" t="n"/>
      <c r="M362" s="9" t="inlineStr">
        <is>
          <t>États-Unis</t>
        </is>
      </c>
      <c r="N362" s="9" t="inlineStr">
        <is>
          <t>Hommes</t>
        </is>
      </c>
      <c r="O362" s="9" t="inlineStr">
        <is>
          <t>Officiel</t>
        </is>
      </c>
      <c r="P362" s="9" t="inlineStr">
        <is>
          <t>Oui</t>
        </is>
      </c>
      <c r="Q362" s="9" t="inlineStr">
        <is>
          <t>https://www.nba.com/news/emirates-nba-cup-2026-groups-announced</t>
        </is>
      </c>
      <c r="R362" s="10" t="n">
        <v>46311</v>
      </c>
      <c r="S362" s="9" t="inlineStr">
        <is>
          <t>Soirées : 30/10, 6/11, 13/11, 20/11, 24/11, 25/11, 27/11</t>
        </is>
      </c>
      <c r="T362" s="9">
        <f>IF(H362="","",IF(MAX(H362,I362)&lt;TODAY(),"Terminé",IF(H362&lt;=TODAY(),"En cours","À venir")))</f>
        <v/>
      </c>
    </row>
    <row r="363">
      <c r="A363" s="9" t="inlineStr">
        <is>
          <t>NBA-2627-005</t>
        </is>
      </c>
      <c r="B363" s="9" t="inlineStr">
        <is>
          <t>Basketball</t>
        </is>
      </c>
      <c r="C363" s="9" t="inlineStr">
        <is>
          <t>NBA</t>
        </is>
      </c>
      <c r="D363" s="9" t="inlineStr">
        <is>
          <t>2026-2027</t>
        </is>
      </c>
      <c r="E363" s="9" t="inlineStr">
        <is>
          <t>Saison régulière</t>
        </is>
      </c>
      <c r="F363" s="9" t="n">
        <v>3</v>
      </c>
      <c r="G363" s="9" t="inlineStr">
        <is>
          <t>NBA – Semaine 3</t>
        </is>
      </c>
      <c r="H363" s="10" t="n">
        <v>46328</v>
      </c>
      <c r="I363" s="10" t="n">
        <v>46334</v>
      </c>
      <c r="J363" s="11" t="n"/>
      <c r="K363" s="9" t="inlineStr">
        <is>
          <t>Europe/Paris</t>
        </is>
      </c>
      <c r="L363" s="9" t="n"/>
      <c r="M363" s="9" t="inlineStr">
        <is>
          <t>États-Unis</t>
        </is>
      </c>
      <c r="N363" s="9" t="inlineStr">
        <is>
          <t>Hommes</t>
        </is>
      </c>
      <c r="O363" s="9" t="inlineStr">
        <is>
          <t>Officiel</t>
        </is>
      </c>
      <c r="P363" s="9" t="inlineStr">
        <is>
          <t>Oui</t>
        </is>
      </c>
      <c r="Q363" s="9" t="inlineStr">
        <is>
          <t>https://www.nba.com/news/2026-27-schedule-announced</t>
        </is>
      </c>
      <c r="R363" s="10" t="n">
        <v>46311</v>
      </c>
      <c r="S363" s="9" t="n"/>
      <c r="T363" s="9">
        <f>IF(H363="","",IF(MAX(H363,I363)&lt;TODAY(),"Terminé",IF(H363&lt;=TODAY(),"En cours","À venir")))</f>
        <v/>
      </c>
    </row>
    <row r="364">
      <c r="A364" s="9" t="inlineStr">
        <is>
          <t>NBA-2627-006</t>
        </is>
      </c>
      <c r="B364" s="9" t="inlineStr">
        <is>
          <t>Basketball</t>
        </is>
      </c>
      <c r="C364" s="9" t="inlineStr">
        <is>
          <t>NBA</t>
        </is>
      </c>
      <c r="D364" s="9" t="inlineStr">
        <is>
          <t>2026-2027</t>
        </is>
      </c>
      <c r="E364" s="9" t="inlineStr">
        <is>
          <t>Saison régulière</t>
        </is>
      </c>
      <c r="F364" s="9" t="n"/>
      <c r="G364" s="9" t="inlineStr">
        <is>
          <t>NBA – Match à Mexico (Nuggets – Pacers)</t>
        </is>
      </c>
      <c r="H364" s="10" t="n">
        <v>46333</v>
      </c>
      <c r="I364" s="10" t="n">
        <v>46333</v>
      </c>
      <c r="J364" s="11" t="n"/>
      <c r="K364" s="9" t="inlineStr">
        <is>
          <t>Europe/Paris</t>
        </is>
      </c>
      <c r="L364" s="9" t="inlineStr">
        <is>
          <t>Mexico</t>
        </is>
      </c>
      <c r="M364" s="9" t="inlineStr">
        <is>
          <t>Mexique</t>
        </is>
      </c>
      <c r="N364" s="9" t="inlineStr">
        <is>
          <t>Hommes</t>
        </is>
      </c>
      <c r="O364" s="9" t="inlineStr">
        <is>
          <t>À confirmer</t>
        </is>
      </c>
      <c r="P364" s="9" t="inlineStr">
        <is>
          <t>Oui</t>
        </is>
      </c>
      <c r="Q364" s="9" t="inlineStr">
        <is>
          <t>https://www.galvnews.com/news_ap/nation/victor-wembanyama-spurs-headline-nba-international-games-in-2026-27/article_e510092a-d42f-5857-b485-fd404384e8f0.html</t>
        </is>
      </c>
      <c r="R364" s="10" t="n">
        <v>46311</v>
      </c>
      <c r="S364" s="9" t="inlineStr">
        <is>
          <t>Date issue d'une dépêche AP, salle non vérifiée</t>
        </is>
      </c>
      <c r="T364" s="9">
        <f>IF(H364="","",IF(MAX(H364,I364)&lt;TODAY(),"Terminé",IF(H364&lt;=TODAY(),"En cours","À venir")))</f>
        <v/>
      </c>
    </row>
    <row r="365">
      <c r="A365" s="9" t="inlineStr">
        <is>
          <t>NBA-2627-007</t>
        </is>
      </c>
      <c r="B365" s="9" t="inlineStr">
        <is>
          <t>Basketball</t>
        </is>
      </c>
      <c r="C365" s="9" t="inlineStr">
        <is>
          <t>NBA</t>
        </is>
      </c>
      <c r="D365" s="9" t="inlineStr">
        <is>
          <t>2026-2027</t>
        </is>
      </c>
      <c r="E365" s="9" t="inlineStr">
        <is>
          <t>Saison régulière</t>
        </is>
      </c>
      <c r="F365" s="9" t="n">
        <v>4</v>
      </c>
      <c r="G365" s="9" t="inlineStr">
        <is>
          <t>NBA – Semaine 4</t>
        </is>
      </c>
      <c r="H365" s="10" t="n">
        <v>46335</v>
      </c>
      <c r="I365" s="10" t="n">
        <v>46341</v>
      </c>
      <c r="J365" s="11" t="n"/>
      <c r="K365" s="9" t="inlineStr">
        <is>
          <t>Europe/Paris</t>
        </is>
      </c>
      <c r="L365" s="9" t="n"/>
      <c r="M365" s="9" t="inlineStr">
        <is>
          <t>États-Unis</t>
        </is>
      </c>
      <c r="N365" s="9" t="inlineStr">
        <is>
          <t>Hommes</t>
        </is>
      </c>
      <c r="O365" s="9" t="inlineStr">
        <is>
          <t>Officiel</t>
        </is>
      </c>
      <c r="P365" s="9" t="inlineStr">
        <is>
          <t>Oui</t>
        </is>
      </c>
      <c r="Q365" s="9" t="inlineStr">
        <is>
          <t>https://www.nba.com/news/2026-27-schedule-announced</t>
        </is>
      </c>
      <c r="R365" s="10" t="n">
        <v>46311</v>
      </c>
      <c r="S365" s="9" t="n"/>
      <c r="T365" s="9">
        <f>IF(H365="","",IF(MAX(H365,I365)&lt;TODAY(),"Terminé",IF(H365&lt;=TODAY(),"En cours","À venir")))</f>
        <v/>
      </c>
    </row>
    <row r="366">
      <c r="A366" s="9" t="inlineStr">
        <is>
          <t>NBA-2627-008</t>
        </is>
      </c>
      <c r="B366" s="9" t="inlineStr">
        <is>
          <t>Basketball</t>
        </is>
      </c>
      <c r="C366" s="9" t="inlineStr">
        <is>
          <t>NBA</t>
        </is>
      </c>
      <c r="D366" s="9" t="inlineStr">
        <is>
          <t>2026-2027</t>
        </is>
      </c>
      <c r="E366" s="9" t="inlineStr">
        <is>
          <t>Saison régulière</t>
        </is>
      </c>
      <c r="F366" s="9" t="n">
        <v>5</v>
      </c>
      <c r="G366" s="9" t="inlineStr">
        <is>
          <t>NBA – Semaine 5</t>
        </is>
      </c>
      <c r="H366" s="10" t="n">
        <v>46342</v>
      </c>
      <c r="I366" s="10" t="n">
        <v>46348</v>
      </c>
      <c r="J366" s="11" t="n"/>
      <c r="K366" s="9" t="inlineStr">
        <is>
          <t>Europe/Paris</t>
        </is>
      </c>
      <c r="L366" s="9" t="n"/>
      <c r="M366" s="9" t="inlineStr">
        <is>
          <t>États-Unis</t>
        </is>
      </c>
      <c r="N366" s="9" t="inlineStr">
        <is>
          <t>Hommes</t>
        </is>
      </c>
      <c r="O366" s="9" t="inlineStr">
        <is>
          <t>Officiel</t>
        </is>
      </c>
      <c r="P366" s="9" t="inlineStr">
        <is>
          <t>Oui</t>
        </is>
      </c>
      <c r="Q366" s="9" t="inlineStr">
        <is>
          <t>https://www.nba.com/news/2026-27-schedule-announced</t>
        </is>
      </c>
      <c r="R366" s="10" t="n">
        <v>46311</v>
      </c>
      <c r="S366" s="9" t="n"/>
      <c r="T366" s="9">
        <f>IF(H366="","",IF(MAX(H366,I366)&lt;TODAY(),"Terminé",IF(H366&lt;=TODAY(),"En cours","À venir")))</f>
        <v/>
      </c>
    </row>
    <row r="367">
      <c r="A367" s="9" t="inlineStr">
        <is>
          <t>NBA-2627-009</t>
        </is>
      </c>
      <c r="B367" s="9" t="inlineStr">
        <is>
          <t>Basketball</t>
        </is>
      </c>
      <c r="C367" s="9" t="inlineStr">
        <is>
          <t>NBA</t>
        </is>
      </c>
      <c r="D367" s="9" t="inlineStr">
        <is>
          <t>2026-2027</t>
        </is>
      </c>
      <c r="E367" s="9" t="inlineStr">
        <is>
          <t>Saison régulière</t>
        </is>
      </c>
      <c r="F367" s="9" t="n">
        <v>6</v>
      </c>
      <c r="G367" s="9" t="inlineStr">
        <is>
          <t>NBA – Semaine 6</t>
        </is>
      </c>
      <c r="H367" s="10" t="n">
        <v>46349</v>
      </c>
      <c r="I367" s="10" t="n">
        <v>46355</v>
      </c>
      <c r="J367" s="11" t="n"/>
      <c r="K367" s="9" t="inlineStr">
        <is>
          <t>Europe/Paris</t>
        </is>
      </c>
      <c r="L367" s="9" t="n"/>
      <c r="M367" s="9" t="inlineStr">
        <is>
          <t>États-Unis</t>
        </is>
      </c>
      <c r="N367" s="9" t="inlineStr">
        <is>
          <t>Hommes</t>
        </is>
      </c>
      <c r="O367" s="9" t="inlineStr">
        <is>
          <t>Officiel</t>
        </is>
      </c>
      <c r="P367" s="9" t="inlineStr">
        <is>
          <t>Oui</t>
        </is>
      </c>
      <c r="Q367" s="9" t="inlineStr">
        <is>
          <t>https://www.nba.com/news/2026-27-schedule-announced</t>
        </is>
      </c>
      <c r="R367" s="10" t="n">
        <v>46311</v>
      </c>
      <c r="S367" s="9" t="n"/>
      <c r="T367" s="9">
        <f>IF(H367="","",IF(MAX(H367,I367)&lt;TODAY(),"Terminé",IF(H367&lt;=TODAY(),"En cours","À venir")))</f>
        <v/>
      </c>
    </row>
    <row r="368">
      <c r="A368" s="9" t="inlineStr">
        <is>
          <t>NBA-2627-010</t>
        </is>
      </c>
      <c r="B368" s="9" t="inlineStr">
        <is>
          <t>Basketball</t>
        </is>
      </c>
      <c r="C368" s="9" t="inlineStr">
        <is>
          <t>NBA</t>
        </is>
      </c>
      <c r="D368" s="9" t="inlineStr">
        <is>
          <t>2026-2027</t>
        </is>
      </c>
      <c r="E368" s="9" t="inlineStr">
        <is>
          <t>Saison régulière</t>
        </is>
      </c>
      <c r="F368" s="9" t="n">
        <v>7</v>
      </c>
      <c r="G368" s="9" t="inlineStr">
        <is>
          <t>NBA – Semaine 7</t>
        </is>
      </c>
      <c r="H368" s="10" t="n">
        <v>46356</v>
      </c>
      <c r="I368" s="10" t="n">
        <v>46362</v>
      </c>
      <c r="J368" s="11" t="n"/>
      <c r="K368" s="9" t="inlineStr">
        <is>
          <t>Europe/Paris</t>
        </is>
      </c>
      <c r="L368" s="9" t="n"/>
      <c r="M368" s="9" t="inlineStr">
        <is>
          <t>États-Unis</t>
        </is>
      </c>
      <c r="N368" s="9" t="inlineStr">
        <is>
          <t>Hommes</t>
        </is>
      </c>
      <c r="O368" s="9" t="inlineStr">
        <is>
          <t>Officiel</t>
        </is>
      </c>
      <c r="P368" s="9" t="inlineStr">
        <is>
          <t>Oui</t>
        </is>
      </c>
      <c r="Q368" s="9" t="inlineStr">
        <is>
          <t>https://www.nba.com/news/2026-27-schedule-announced</t>
        </is>
      </c>
      <c r="R368" s="10" t="n">
        <v>46311</v>
      </c>
      <c r="S368" s="9" t="n"/>
      <c r="T368" s="9">
        <f>IF(H368="","",IF(MAX(H368,I368)&lt;TODAY(),"Terminé",IF(H368&lt;=TODAY(),"En cours","À venir")))</f>
        <v/>
      </c>
    </row>
    <row r="369">
      <c r="A369" s="9" t="inlineStr">
        <is>
          <t>NBA-2627-011</t>
        </is>
      </c>
      <c r="B369" s="9" t="inlineStr">
        <is>
          <t>Basketball</t>
        </is>
      </c>
      <c r="C369" s="9" t="inlineStr">
        <is>
          <t>NBA</t>
        </is>
      </c>
      <c r="D369" s="9" t="inlineStr">
        <is>
          <t>2026-2027</t>
        </is>
      </c>
      <c r="E369" s="9" t="inlineStr">
        <is>
          <t>NBA Cup</t>
        </is>
      </c>
      <c r="F369" s="9" t="n"/>
      <c r="G369" s="9" t="inlineStr">
        <is>
          <t>NBA Cup – Quarts de finale</t>
        </is>
      </c>
      <c r="H369" s="10" t="n">
        <v>46360</v>
      </c>
      <c r="I369" s="10" t="n">
        <v>46361</v>
      </c>
      <c r="J369" s="11" t="n"/>
      <c r="K369" s="9" t="inlineStr">
        <is>
          <t>Europe/Paris</t>
        </is>
      </c>
      <c r="L369" s="9" t="n"/>
      <c r="M369" s="9" t="inlineStr">
        <is>
          <t>États-Unis</t>
        </is>
      </c>
      <c r="N369" s="9" t="inlineStr">
        <is>
          <t>Hommes</t>
        </is>
      </c>
      <c r="O369" s="9" t="inlineStr">
        <is>
          <t>Officiel</t>
        </is>
      </c>
      <c r="P369" s="9" t="inlineStr">
        <is>
          <t>Oui</t>
        </is>
      </c>
      <c r="Q369" s="9" t="inlineStr">
        <is>
          <t>https://www.nba.com/news/emirates-nba-cup-2026-groups-announced</t>
        </is>
      </c>
      <c r="R369" s="10" t="n">
        <v>46311</v>
      </c>
      <c r="S369" s="9" t="inlineStr">
        <is>
          <t>Chez les mieux classés de chaque conférence</t>
        </is>
      </c>
      <c r="T369" s="9">
        <f>IF(H369="","",IF(MAX(H369,I369)&lt;TODAY(),"Terminé",IF(H369&lt;=TODAY(),"En cours","À venir")))</f>
        <v/>
      </c>
    </row>
    <row r="370">
      <c r="A370" s="9" t="inlineStr">
        <is>
          <t>NBA-2627-012</t>
        </is>
      </c>
      <c r="B370" s="9" t="inlineStr">
        <is>
          <t>Basketball</t>
        </is>
      </c>
      <c r="C370" s="9" t="inlineStr">
        <is>
          <t>NBA</t>
        </is>
      </c>
      <c r="D370" s="9" t="inlineStr">
        <is>
          <t>2026-2027</t>
        </is>
      </c>
      <c r="E370" s="9" t="inlineStr">
        <is>
          <t>Saison régulière</t>
        </is>
      </c>
      <c r="F370" s="9" t="n">
        <v>8</v>
      </c>
      <c r="G370" s="9" t="inlineStr">
        <is>
          <t>NBA – Semaine 8</t>
        </is>
      </c>
      <c r="H370" s="10" t="n">
        <v>46363</v>
      </c>
      <c r="I370" s="10" t="n">
        <v>46369</v>
      </c>
      <c r="J370" s="11" t="n"/>
      <c r="K370" s="9" t="inlineStr">
        <is>
          <t>Europe/Paris</t>
        </is>
      </c>
      <c r="L370" s="9" t="n"/>
      <c r="M370" s="9" t="inlineStr">
        <is>
          <t>États-Unis</t>
        </is>
      </c>
      <c r="N370" s="9" t="inlineStr">
        <is>
          <t>Hommes</t>
        </is>
      </c>
      <c r="O370" s="9" t="inlineStr">
        <is>
          <t>Officiel</t>
        </is>
      </c>
      <c r="P370" s="9" t="inlineStr">
        <is>
          <t>Oui</t>
        </is>
      </c>
      <c r="Q370" s="9" t="inlineStr">
        <is>
          <t>https://www.nba.com/news/2026-27-schedule-announced</t>
        </is>
      </c>
      <c r="R370" s="10" t="n">
        <v>46311</v>
      </c>
      <c r="S370" s="9" t="n"/>
      <c r="T370" s="9">
        <f>IF(H370="","",IF(MAX(H370,I370)&lt;TODAY(),"Terminé",IF(H370&lt;=TODAY(),"En cours","À venir")))</f>
        <v/>
      </c>
    </row>
    <row r="371">
      <c r="A371" s="9" t="inlineStr">
        <is>
          <t>NBA-2627-013</t>
        </is>
      </c>
      <c r="B371" s="9" t="inlineStr">
        <is>
          <t>Basketball</t>
        </is>
      </c>
      <c r="C371" s="9" t="inlineStr">
        <is>
          <t>NBA</t>
        </is>
      </c>
      <c r="D371" s="9" t="inlineStr">
        <is>
          <t>2026-2027</t>
        </is>
      </c>
      <c r="E371" s="9" t="inlineStr">
        <is>
          <t>NBA Cup</t>
        </is>
      </c>
      <c r="F371" s="9" t="n"/>
      <c r="G371" s="9" t="inlineStr">
        <is>
          <t>NBA Cup – Demi-finales</t>
        </is>
      </c>
      <c r="H371" s="10" t="n">
        <v>46364</v>
      </c>
      <c r="I371" s="10" t="n">
        <v>46365</v>
      </c>
      <c r="J371" s="11" t="n"/>
      <c r="K371" s="9" t="inlineStr">
        <is>
          <t>Europe/Paris</t>
        </is>
      </c>
      <c r="L371" s="9" t="n"/>
      <c r="M371" s="9" t="inlineStr">
        <is>
          <t>États-Unis</t>
        </is>
      </c>
      <c r="N371" s="9" t="inlineStr">
        <is>
          <t>Hommes</t>
        </is>
      </c>
      <c r="O371" s="9" t="inlineStr">
        <is>
          <t>Officiel</t>
        </is>
      </c>
      <c r="P371" s="9" t="inlineStr">
        <is>
          <t>Oui</t>
        </is>
      </c>
      <c r="Q371" s="9" t="inlineStr">
        <is>
          <t>https://www.nba.com/news/emirates-nba-cup-2026-groups-announced</t>
        </is>
      </c>
      <c r="R371" s="10" t="n">
        <v>46311</v>
      </c>
      <c r="S371" s="9" t="inlineStr">
        <is>
          <t>Le 8 et/ou le 9/12, salle de l'équipe la mieux classée</t>
        </is>
      </c>
      <c r="T371" s="9">
        <f>IF(H371="","",IF(MAX(H371,I371)&lt;TODAY(),"Terminé",IF(H371&lt;=TODAY(),"En cours","À venir")))</f>
        <v/>
      </c>
    </row>
    <row r="372">
      <c r="A372" s="9" t="inlineStr">
        <is>
          <t>NBA-2627-014</t>
        </is>
      </c>
      <c r="B372" s="9" t="inlineStr">
        <is>
          <t>Basketball</t>
        </is>
      </c>
      <c r="C372" s="9" t="inlineStr">
        <is>
          <t>NBA</t>
        </is>
      </c>
      <c r="D372" s="9" t="inlineStr">
        <is>
          <t>2026-2027</t>
        </is>
      </c>
      <c r="E372" s="9" t="inlineStr">
        <is>
          <t>NBA Cup</t>
        </is>
      </c>
      <c r="F372" s="9" t="n"/>
      <c r="G372" s="9" t="inlineStr">
        <is>
          <t>NBA Cup – Finale</t>
        </is>
      </c>
      <c r="H372" s="10" t="n">
        <v>46367</v>
      </c>
      <c r="I372" s="10" t="n">
        <v>46367</v>
      </c>
      <c r="J372" s="11" t="n"/>
      <c r="K372" s="9" t="inlineStr">
        <is>
          <t>Europe/Paris</t>
        </is>
      </c>
      <c r="L372" s="9" t="inlineStr">
        <is>
          <t>Hinkle Fieldhouse, Indianapolis</t>
        </is>
      </c>
      <c r="M372" s="9" t="inlineStr">
        <is>
          <t>États-Unis</t>
        </is>
      </c>
      <c r="N372" s="9" t="inlineStr">
        <is>
          <t>Hommes</t>
        </is>
      </c>
      <c r="O372" s="9" t="inlineStr">
        <is>
          <t>Officiel</t>
        </is>
      </c>
      <c r="P372" s="9" t="inlineStr">
        <is>
          <t>Oui</t>
        </is>
      </c>
      <c r="Q372" s="9" t="inlineStr">
        <is>
          <t>https://www.nba.com/news/emirates-nba-cup-2026-groups-announced</t>
        </is>
      </c>
      <c r="R372" s="10" t="n">
        <v>46311</v>
      </c>
      <c r="S372" s="9" t="inlineStr">
        <is>
          <t>Première finale hors Las Vegas</t>
        </is>
      </c>
      <c r="T372" s="9">
        <f>IF(H372="","",IF(MAX(H372,I372)&lt;TODAY(),"Terminé",IF(H372&lt;=TODAY(),"En cours","À venir")))</f>
        <v/>
      </c>
    </row>
    <row r="373">
      <c r="A373" s="9" t="inlineStr">
        <is>
          <t>NBA-2627-015</t>
        </is>
      </c>
      <c r="B373" s="9" t="inlineStr">
        <is>
          <t>Basketball</t>
        </is>
      </c>
      <c r="C373" s="9" t="inlineStr">
        <is>
          <t>NBA</t>
        </is>
      </c>
      <c r="D373" s="9" t="inlineStr">
        <is>
          <t>2026-2027</t>
        </is>
      </c>
      <c r="E373" s="9" t="inlineStr">
        <is>
          <t>Saison régulière</t>
        </is>
      </c>
      <c r="F373" s="9" t="n">
        <v>9</v>
      </c>
      <c r="G373" s="9" t="inlineStr">
        <is>
          <t>NBA – Semaine 9</t>
        </is>
      </c>
      <c r="H373" s="10" t="n">
        <v>46370</v>
      </c>
      <c r="I373" s="10" t="n">
        <v>46376</v>
      </c>
      <c r="J373" s="11" t="n"/>
      <c r="K373" s="9" t="inlineStr">
        <is>
          <t>Europe/Paris</t>
        </is>
      </c>
      <c r="L373" s="9" t="n"/>
      <c r="M373" s="9" t="inlineStr">
        <is>
          <t>États-Unis</t>
        </is>
      </c>
      <c r="N373" s="9" t="inlineStr">
        <is>
          <t>Hommes</t>
        </is>
      </c>
      <c r="O373" s="9" t="inlineStr">
        <is>
          <t>Officiel</t>
        </is>
      </c>
      <c r="P373" s="9" t="inlineStr">
        <is>
          <t>Oui</t>
        </is>
      </c>
      <c r="Q373" s="9" t="inlineStr">
        <is>
          <t>https://www.nba.com/news/2026-27-schedule-announced</t>
        </is>
      </c>
      <c r="R373" s="10" t="n">
        <v>46311</v>
      </c>
      <c r="S373" s="9" t="n"/>
      <c r="T373" s="9">
        <f>IF(H373="","",IF(MAX(H373,I373)&lt;TODAY(),"Terminé",IF(H373&lt;=TODAY(),"En cours","À venir")))</f>
        <v/>
      </c>
    </row>
    <row r="374">
      <c r="A374" s="9" t="inlineStr">
        <is>
          <t>NBA-2627-016</t>
        </is>
      </c>
      <c r="B374" s="9" t="inlineStr">
        <is>
          <t>Basketball</t>
        </is>
      </c>
      <c r="C374" s="9" t="inlineStr">
        <is>
          <t>NBA</t>
        </is>
      </c>
      <c r="D374" s="9" t="inlineStr">
        <is>
          <t>2026-2027</t>
        </is>
      </c>
      <c r="E374" s="9" t="inlineStr">
        <is>
          <t>Saison régulière</t>
        </is>
      </c>
      <c r="F374" s="9" t="n">
        <v>10</v>
      </c>
      <c r="G374" s="9" t="inlineStr">
        <is>
          <t>NBA – Semaine 10</t>
        </is>
      </c>
      <c r="H374" s="10" t="n">
        <v>46377</v>
      </c>
      <c r="I374" s="10" t="n">
        <v>46383</v>
      </c>
      <c r="J374" s="11" t="n"/>
      <c r="K374" s="9" t="inlineStr">
        <is>
          <t>Europe/Paris</t>
        </is>
      </c>
      <c r="L374" s="9" t="n"/>
      <c r="M374" s="9" t="inlineStr">
        <is>
          <t>États-Unis</t>
        </is>
      </c>
      <c r="N374" s="9" t="inlineStr">
        <is>
          <t>Hommes</t>
        </is>
      </c>
      <c r="O374" s="9" t="inlineStr">
        <is>
          <t>Officiel</t>
        </is>
      </c>
      <c r="P374" s="9" t="inlineStr">
        <is>
          <t>Oui</t>
        </is>
      </c>
      <c r="Q374" s="9" t="inlineStr">
        <is>
          <t>https://www.nba.com/news/2026-27-schedule-announced</t>
        </is>
      </c>
      <c r="R374" s="10" t="n">
        <v>46311</v>
      </c>
      <c r="S374" s="9" t="n"/>
      <c r="T374" s="9">
        <f>IF(H374="","",IF(MAX(H374,I374)&lt;TODAY(),"Terminé",IF(H374&lt;=TODAY(),"En cours","À venir")))</f>
        <v/>
      </c>
    </row>
    <row r="375">
      <c r="A375" s="9" t="inlineStr">
        <is>
          <t>NBA-2627-017</t>
        </is>
      </c>
      <c r="B375" s="9" t="inlineStr">
        <is>
          <t>Basketball</t>
        </is>
      </c>
      <c r="C375" s="9" t="inlineStr">
        <is>
          <t>NBA</t>
        </is>
      </c>
      <c r="D375" s="9" t="inlineStr">
        <is>
          <t>2026-2027</t>
        </is>
      </c>
      <c r="E375" s="9" t="inlineStr">
        <is>
          <t>Saison régulière</t>
        </is>
      </c>
      <c r="F375" s="9" t="n">
        <v>11</v>
      </c>
      <c r="G375" s="9" t="inlineStr">
        <is>
          <t>NBA – Semaine 11</t>
        </is>
      </c>
      <c r="H375" s="10" t="n">
        <v>46384</v>
      </c>
      <c r="I375" s="10" t="n">
        <v>46390</v>
      </c>
      <c r="J375" s="11" t="n"/>
      <c r="K375" s="9" t="inlineStr">
        <is>
          <t>Europe/Paris</t>
        </is>
      </c>
      <c r="L375" s="9" t="n"/>
      <c r="M375" s="9" t="inlineStr">
        <is>
          <t>États-Unis</t>
        </is>
      </c>
      <c r="N375" s="9" t="inlineStr">
        <is>
          <t>Hommes</t>
        </is>
      </c>
      <c r="O375" s="9" t="inlineStr">
        <is>
          <t>Officiel</t>
        </is>
      </c>
      <c r="P375" s="9" t="inlineStr">
        <is>
          <t>Oui</t>
        </is>
      </c>
      <c r="Q375" s="9" t="inlineStr">
        <is>
          <t>https://www.nba.com/news/2026-27-schedule-announced</t>
        </is>
      </c>
      <c r="R375" s="10" t="n">
        <v>46311</v>
      </c>
      <c r="S375" s="9" t="n"/>
      <c r="T375" s="9">
        <f>IF(H375="","",IF(MAX(H375,I375)&lt;TODAY(),"Terminé",IF(H375&lt;=TODAY(),"En cours","À venir")))</f>
        <v/>
      </c>
    </row>
    <row r="376">
      <c r="A376" s="9" t="inlineStr">
        <is>
          <t>NBA-2627-018</t>
        </is>
      </c>
      <c r="B376" s="9" t="inlineStr">
        <is>
          <t>Basketball</t>
        </is>
      </c>
      <c r="C376" s="9" t="inlineStr">
        <is>
          <t>NBA</t>
        </is>
      </c>
      <c r="D376" s="9" t="inlineStr">
        <is>
          <t>2026-2027</t>
        </is>
      </c>
      <c r="E376" s="9" t="inlineStr">
        <is>
          <t>Saison régulière</t>
        </is>
      </c>
      <c r="F376" s="9" t="n">
        <v>12</v>
      </c>
      <c r="G376" s="9" t="inlineStr">
        <is>
          <t>NBA – Semaine 12</t>
        </is>
      </c>
      <c r="H376" s="10" t="n">
        <v>46391</v>
      </c>
      <c r="I376" s="10" t="n">
        <v>46397</v>
      </c>
      <c r="J376" s="11" t="n"/>
      <c r="K376" s="9" t="inlineStr">
        <is>
          <t>Europe/Paris</t>
        </is>
      </c>
      <c r="L376" s="9" t="n"/>
      <c r="M376" s="9" t="inlineStr">
        <is>
          <t>États-Unis</t>
        </is>
      </c>
      <c r="N376" s="9" t="inlineStr">
        <is>
          <t>Hommes</t>
        </is>
      </c>
      <c r="O376" s="9" t="inlineStr">
        <is>
          <t>Officiel</t>
        </is>
      </c>
      <c r="P376" s="9" t="inlineStr">
        <is>
          <t>Oui</t>
        </is>
      </c>
      <c r="Q376" s="9" t="inlineStr">
        <is>
          <t>https://www.nba.com/news/2026-27-schedule-announced</t>
        </is>
      </c>
      <c r="R376" s="10" t="n">
        <v>46311</v>
      </c>
      <c r="S376" s="9" t="n"/>
      <c r="T376" s="9">
        <f>IF(H376="","",IF(MAX(H376,I376)&lt;TODAY(),"Terminé",IF(H376&lt;=TODAY(),"En cours","À venir")))</f>
        <v/>
      </c>
    </row>
    <row r="377">
      <c r="A377" s="9" t="inlineStr">
        <is>
          <t>NBA-2627-019</t>
        </is>
      </c>
      <c r="B377" s="9" t="inlineStr">
        <is>
          <t>Basketball</t>
        </is>
      </c>
      <c r="C377" s="9" t="inlineStr">
        <is>
          <t>NBA</t>
        </is>
      </c>
      <c r="D377" s="9" t="inlineStr">
        <is>
          <t>2026-2027</t>
        </is>
      </c>
      <c r="E377" s="9" t="inlineStr">
        <is>
          <t>Saison régulière</t>
        </is>
      </c>
      <c r="F377" s="9" t="n">
        <v>13</v>
      </c>
      <c r="G377" s="9" t="inlineStr">
        <is>
          <t>NBA – Semaine 13</t>
        </is>
      </c>
      <c r="H377" s="10" t="n">
        <v>46398</v>
      </c>
      <c r="I377" s="10" t="n">
        <v>46404</v>
      </c>
      <c r="J377" s="11" t="n"/>
      <c r="K377" s="9" t="inlineStr">
        <is>
          <t>Europe/Paris</t>
        </is>
      </c>
      <c r="L377" s="9" t="n"/>
      <c r="M377" s="9" t="inlineStr">
        <is>
          <t>États-Unis</t>
        </is>
      </c>
      <c r="N377" s="9" t="inlineStr">
        <is>
          <t>Hommes</t>
        </is>
      </c>
      <c r="O377" s="9" t="inlineStr">
        <is>
          <t>Officiel</t>
        </is>
      </c>
      <c r="P377" s="9" t="inlineStr">
        <is>
          <t>Oui</t>
        </is>
      </c>
      <c r="Q377" s="9" t="inlineStr">
        <is>
          <t>https://www.nba.com/news/2026-27-schedule-announced</t>
        </is>
      </c>
      <c r="R377" s="10" t="n">
        <v>46311</v>
      </c>
      <c r="S377" s="9" t="inlineStr">
        <is>
          <t>Match à Paris (Accor Arena) le 14/01 : Spurs – Pelicans</t>
        </is>
      </c>
      <c r="T377" s="9">
        <f>IF(H377="","",IF(MAX(H377,I377)&lt;TODAY(),"Terminé",IF(H377&lt;=TODAY(),"En cours","À venir")))</f>
        <v/>
      </c>
    </row>
    <row r="378">
      <c r="A378" s="9" t="inlineStr">
        <is>
          <t>NBA-2627-020</t>
        </is>
      </c>
      <c r="B378" s="9" t="inlineStr">
        <is>
          <t>Basketball</t>
        </is>
      </c>
      <c r="C378" s="9" t="inlineStr">
        <is>
          <t>NBA</t>
        </is>
      </c>
      <c r="D378" s="9" t="inlineStr">
        <is>
          <t>2026-2027</t>
        </is>
      </c>
      <c r="E378" s="9" t="inlineStr">
        <is>
          <t>Saison régulière</t>
        </is>
      </c>
      <c r="F378" s="9" t="n"/>
      <c r="G378" s="9" t="inlineStr">
        <is>
          <t>NBA Paris Game – Spurs – Pelicans</t>
        </is>
      </c>
      <c r="H378" s="10" t="n">
        <v>46401</v>
      </c>
      <c r="I378" s="10" t="n">
        <v>46401</v>
      </c>
      <c r="J378" s="11" t="n"/>
      <c r="K378" s="9" t="inlineStr">
        <is>
          <t>Europe/Paris</t>
        </is>
      </c>
      <c r="L378" s="9" t="inlineStr">
        <is>
          <t>Accor Arena, Paris</t>
        </is>
      </c>
      <c r="M378" s="9" t="inlineStr">
        <is>
          <t>France</t>
        </is>
      </c>
      <c r="N378" s="9" t="inlineStr">
        <is>
          <t>Hommes</t>
        </is>
      </c>
      <c r="O378" s="9" t="inlineStr">
        <is>
          <t>Officiel</t>
        </is>
      </c>
      <c r="P378" s="9" t="inlineStr">
        <is>
          <t>Oui</t>
        </is>
      </c>
      <c r="Q378" s="9" t="inlineStr">
        <is>
          <t>https://www.galvnews.com/news_ap/nation/victor-wembanyama-spurs-headline-nba-international-games-in-2026-27/article_e510092a-d42f-5857-b485-fd404384e8f0.html</t>
        </is>
      </c>
      <c r="R378" s="10" t="n">
        <v>46311</v>
      </c>
      <c r="S378" s="9" t="inlineStr">
        <is>
          <t>Avec Wembanyama ; heure non communiquée</t>
        </is>
      </c>
      <c r="T378" s="9">
        <f>IF(H378="","",IF(MAX(H378,I378)&lt;TODAY(),"Terminé",IF(H378&lt;=TODAY(),"En cours","À venir")))</f>
        <v/>
      </c>
    </row>
    <row r="379">
      <c r="A379" s="9" t="inlineStr">
        <is>
          <t>NBA-2627-021</t>
        </is>
      </c>
      <c r="B379" s="9" t="inlineStr">
        <is>
          <t>Basketball</t>
        </is>
      </c>
      <c r="C379" s="9" t="inlineStr">
        <is>
          <t>NBA</t>
        </is>
      </c>
      <c r="D379" s="9" t="inlineStr">
        <is>
          <t>2026-2027</t>
        </is>
      </c>
      <c r="E379" s="9" t="inlineStr">
        <is>
          <t>Saison régulière</t>
        </is>
      </c>
      <c r="F379" s="9" t="n"/>
      <c r="G379" s="9" t="inlineStr">
        <is>
          <t>NBA – Match à Manchester (Spurs – Pelicans)</t>
        </is>
      </c>
      <c r="H379" s="10" t="n">
        <v>46404</v>
      </c>
      <c r="I379" s="10" t="n">
        <v>46404</v>
      </c>
      <c r="J379" s="11" t="n"/>
      <c r="K379" s="9" t="inlineStr">
        <is>
          <t>Europe/Paris</t>
        </is>
      </c>
      <c r="L379" s="9" t="inlineStr">
        <is>
          <t>Co-op Live, Manchester</t>
        </is>
      </c>
      <c r="M379" s="9" t="inlineStr">
        <is>
          <t>Royaume-Uni</t>
        </is>
      </c>
      <c r="N379" s="9" t="inlineStr">
        <is>
          <t>Hommes</t>
        </is>
      </c>
      <c r="O379" s="9" t="inlineStr">
        <is>
          <t>Officiel</t>
        </is>
      </c>
      <c r="P379" s="9" t="inlineStr">
        <is>
          <t>Oui</t>
        </is>
      </c>
      <c r="Q379" s="9" t="inlineStr">
        <is>
          <t>https://www.galvnews.com/news_ap/nation/victor-wembanyama-spurs-headline-nba-international-games-in-2026-27/article_e510092a-d42f-5857-b485-fd404384e8f0.html</t>
        </is>
      </c>
      <c r="R379" s="10" t="n">
        <v>46311</v>
      </c>
      <c r="S379" s="9" t="n"/>
      <c r="T379" s="9">
        <f>IF(H379="","",IF(MAX(H379,I379)&lt;TODAY(),"Terminé",IF(H379&lt;=TODAY(),"En cours","À venir")))</f>
        <v/>
      </c>
    </row>
    <row r="380">
      <c r="A380" s="9" t="inlineStr">
        <is>
          <t>NBA-2627-022</t>
        </is>
      </c>
      <c r="B380" s="9" t="inlineStr">
        <is>
          <t>Basketball</t>
        </is>
      </c>
      <c r="C380" s="9" t="inlineStr">
        <is>
          <t>NBA</t>
        </is>
      </c>
      <c r="D380" s="9" t="inlineStr">
        <is>
          <t>2026-2027</t>
        </is>
      </c>
      <c r="E380" s="9" t="inlineStr">
        <is>
          <t>Saison régulière</t>
        </is>
      </c>
      <c r="F380" s="9" t="n">
        <v>14</v>
      </c>
      <c r="G380" s="9" t="inlineStr">
        <is>
          <t>NBA – Semaine 14</t>
        </is>
      </c>
      <c r="H380" s="10" t="n">
        <v>46405</v>
      </c>
      <c r="I380" s="10" t="n">
        <v>46411</v>
      </c>
      <c r="J380" s="11" t="n"/>
      <c r="K380" s="9" t="inlineStr">
        <is>
          <t>Europe/Paris</t>
        </is>
      </c>
      <c r="L380" s="9" t="n"/>
      <c r="M380" s="9" t="inlineStr">
        <is>
          <t>États-Unis</t>
        </is>
      </c>
      <c r="N380" s="9" t="inlineStr">
        <is>
          <t>Hommes</t>
        </is>
      </c>
      <c r="O380" s="9" t="inlineStr">
        <is>
          <t>Officiel</t>
        </is>
      </c>
      <c r="P380" s="9" t="inlineStr">
        <is>
          <t>Oui</t>
        </is>
      </c>
      <c r="Q380" s="9" t="inlineStr">
        <is>
          <t>https://www.nba.com/news/2026-27-schedule-announced</t>
        </is>
      </c>
      <c r="R380" s="10" t="n">
        <v>46311</v>
      </c>
      <c r="S380" s="9" t="n"/>
      <c r="T380" s="9">
        <f>IF(H380="","",IF(MAX(H380,I380)&lt;TODAY(),"Terminé",IF(H380&lt;=TODAY(),"En cours","À venir")))</f>
        <v/>
      </c>
    </row>
    <row r="381">
      <c r="A381" s="9" t="inlineStr">
        <is>
          <t>NBA-2627-023</t>
        </is>
      </c>
      <c r="B381" s="9" t="inlineStr">
        <is>
          <t>Basketball</t>
        </is>
      </c>
      <c r="C381" s="9" t="inlineStr">
        <is>
          <t>NBA</t>
        </is>
      </c>
      <c r="D381" s="9" t="inlineStr">
        <is>
          <t>2026-2027</t>
        </is>
      </c>
      <c r="E381" s="9" t="inlineStr">
        <is>
          <t>Saison régulière</t>
        </is>
      </c>
      <c r="F381" s="9" t="n">
        <v>15</v>
      </c>
      <c r="G381" s="9" t="inlineStr">
        <is>
          <t>NBA – Semaine 15</t>
        </is>
      </c>
      <c r="H381" s="10" t="n">
        <v>46412</v>
      </c>
      <c r="I381" s="10" t="n">
        <v>46418</v>
      </c>
      <c r="J381" s="11" t="n"/>
      <c r="K381" s="9" t="inlineStr">
        <is>
          <t>Europe/Paris</t>
        </is>
      </c>
      <c r="L381" s="9" t="n"/>
      <c r="M381" s="9" t="inlineStr">
        <is>
          <t>États-Unis</t>
        </is>
      </c>
      <c r="N381" s="9" t="inlineStr">
        <is>
          <t>Hommes</t>
        </is>
      </c>
      <c r="O381" s="9" t="inlineStr">
        <is>
          <t>Officiel</t>
        </is>
      </c>
      <c r="P381" s="9" t="inlineStr">
        <is>
          <t>Oui</t>
        </is>
      </c>
      <c r="Q381" s="9" t="inlineStr">
        <is>
          <t>https://www.nba.com/news/2026-27-schedule-announced</t>
        </is>
      </c>
      <c r="R381" s="10" t="n">
        <v>46311</v>
      </c>
      <c r="S381" s="9" t="n"/>
      <c r="T381" s="9">
        <f>IF(H381="","",IF(MAX(H381,I381)&lt;TODAY(),"Terminé",IF(H381&lt;=TODAY(),"En cours","À venir")))</f>
        <v/>
      </c>
    </row>
    <row r="382">
      <c r="A382" s="9" t="inlineStr">
        <is>
          <t>NBA-2627-024</t>
        </is>
      </c>
      <c r="B382" s="9" t="inlineStr">
        <is>
          <t>Basketball</t>
        </is>
      </c>
      <c r="C382" s="9" t="inlineStr">
        <is>
          <t>NBA</t>
        </is>
      </c>
      <c r="D382" s="9" t="inlineStr">
        <is>
          <t>2026-2027</t>
        </is>
      </c>
      <c r="E382" s="9" t="inlineStr">
        <is>
          <t>Saison régulière</t>
        </is>
      </c>
      <c r="F382" s="9" t="n">
        <v>16</v>
      </c>
      <c r="G382" s="9" t="inlineStr">
        <is>
          <t>NBA – Semaine 16</t>
        </is>
      </c>
      <c r="H382" s="10" t="n">
        <v>46419</v>
      </c>
      <c r="I382" s="10" t="n">
        <v>46425</v>
      </c>
      <c r="J382" s="11" t="n"/>
      <c r="K382" s="9" t="inlineStr">
        <is>
          <t>Europe/Paris</t>
        </is>
      </c>
      <c r="L382" s="9" t="n"/>
      <c r="M382" s="9" t="inlineStr">
        <is>
          <t>États-Unis</t>
        </is>
      </c>
      <c r="N382" s="9" t="inlineStr">
        <is>
          <t>Hommes</t>
        </is>
      </c>
      <c r="O382" s="9" t="inlineStr">
        <is>
          <t>Officiel</t>
        </is>
      </c>
      <c r="P382" s="9" t="inlineStr">
        <is>
          <t>Oui</t>
        </is>
      </c>
      <c r="Q382" s="9" t="inlineStr">
        <is>
          <t>https://www.nba.com/news/2026-27-schedule-announced</t>
        </is>
      </c>
      <c r="R382" s="10" t="n">
        <v>46311</v>
      </c>
      <c r="S382" s="9" t="n"/>
      <c r="T382" s="9">
        <f>IF(H382="","",IF(MAX(H382,I382)&lt;TODAY(),"Terminé",IF(H382&lt;=TODAY(),"En cours","À venir")))</f>
        <v/>
      </c>
    </row>
    <row r="383">
      <c r="A383" s="9" t="inlineStr">
        <is>
          <t>NBA-2627-025</t>
        </is>
      </c>
      <c r="B383" s="9" t="inlineStr">
        <is>
          <t>Basketball</t>
        </is>
      </c>
      <c r="C383" s="9" t="inlineStr">
        <is>
          <t>NBA</t>
        </is>
      </c>
      <c r="D383" s="9" t="inlineStr">
        <is>
          <t>2026-2027</t>
        </is>
      </c>
      <c r="E383" s="9" t="inlineStr">
        <is>
          <t>Saison régulière</t>
        </is>
      </c>
      <c r="F383" s="9" t="n">
        <v>17</v>
      </c>
      <c r="G383" s="9" t="inlineStr">
        <is>
          <t>NBA – Semaine 17</t>
        </is>
      </c>
      <c r="H383" s="10" t="n">
        <v>46426</v>
      </c>
      <c r="I383" s="10" t="n">
        <v>46432</v>
      </c>
      <c r="J383" s="11" t="n"/>
      <c r="K383" s="9" t="inlineStr">
        <is>
          <t>Europe/Paris</t>
        </is>
      </c>
      <c r="L383" s="9" t="n"/>
      <c r="M383" s="9" t="inlineStr">
        <is>
          <t>États-Unis</t>
        </is>
      </c>
      <c r="N383" s="9" t="inlineStr">
        <is>
          <t>Hommes</t>
        </is>
      </c>
      <c r="O383" s="9" t="inlineStr">
        <is>
          <t>Officiel</t>
        </is>
      </c>
      <c r="P383" s="9" t="inlineStr">
        <is>
          <t>Oui</t>
        </is>
      </c>
      <c r="Q383" s="9" t="inlineStr">
        <is>
          <t>https://www.nba.com/news/2026-27-schedule-announced</t>
        </is>
      </c>
      <c r="R383" s="10" t="n">
        <v>46311</v>
      </c>
      <c r="S383" s="9" t="n"/>
      <c r="T383" s="9">
        <f>IF(H383="","",IF(MAX(H383,I383)&lt;TODAY(),"Terminé",IF(H383&lt;=TODAY(),"En cours","À venir")))</f>
        <v/>
      </c>
    </row>
    <row r="384">
      <c r="A384" s="9" t="inlineStr">
        <is>
          <t>NBA-2627-026</t>
        </is>
      </c>
      <c r="B384" s="9" t="inlineStr">
        <is>
          <t>Basketball</t>
        </is>
      </c>
      <c r="C384" s="9" t="inlineStr">
        <is>
          <t>NBA</t>
        </is>
      </c>
      <c r="D384" s="9" t="inlineStr">
        <is>
          <t>2026-2027</t>
        </is>
      </c>
      <c r="E384" s="9" t="inlineStr">
        <is>
          <t>Saison régulière</t>
        </is>
      </c>
      <c r="F384" s="9" t="n"/>
      <c r="G384" s="9" t="inlineStr">
        <is>
          <t>NBA – Date limite des transferts</t>
        </is>
      </c>
      <c r="H384" s="10" t="n">
        <v>46429</v>
      </c>
      <c r="I384" s="10" t="n">
        <v>46429</v>
      </c>
      <c r="J384" s="11" t="n"/>
      <c r="K384" s="9" t="inlineStr">
        <is>
          <t>Europe/Paris</t>
        </is>
      </c>
      <c r="L384" s="9" t="n"/>
      <c r="M384" s="9" t="inlineStr">
        <is>
          <t>États-Unis</t>
        </is>
      </c>
      <c r="N384" s="9" t="inlineStr">
        <is>
          <t>Hommes</t>
        </is>
      </c>
      <c r="O384" s="9" t="inlineStr">
        <is>
          <t>Officiel</t>
        </is>
      </c>
      <c r="P384" s="9" t="inlineStr">
        <is>
          <t>Oui</t>
        </is>
      </c>
      <c r="Q384" s="9" t="inlineStr">
        <is>
          <t>https://www.hoopsrumors.com/2026/08/2027-nba-trade-deadline-set-for-february-11.html</t>
        </is>
      </c>
      <c r="R384" s="10" t="n">
        <v>46311</v>
      </c>
      <c r="S384" s="9" t="inlineStr">
        <is>
          <t>15h ET (21h Paris)</t>
        </is>
      </c>
      <c r="T384" s="9">
        <f>IF(H384="","",IF(MAX(H384,I384)&lt;TODAY(),"Terminé",IF(H384&lt;=TODAY(),"En cours","À venir")))</f>
        <v/>
      </c>
    </row>
    <row r="385">
      <c r="A385" s="9" t="inlineStr">
        <is>
          <t>NBA-2627-027</t>
        </is>
      </c>
      <c r="B385" s="9" t="inlineStr">
        <is>
          <t>Basketball</t>
        </is>
      </c>
      <c r="C385" s="9" t="inlineStr">
        <is>
          <t>NBA</t>
        </is>
      </c>
      <c r="D385" s="9" t="inlineStr">
        <is>
          <t>2026-2027</t>
        </is>
      </c>
      <c r="E385" s="9" t="inlineStr">
        <is>
          <t>Saison régulière</t>
        </is>
      </c>
      <c r="F385" s="9" t="n">
        <v>18</v>
      </c>
      <c r="G385" s="9" t="inlineStr">
        <is>
          <t>NBA – Semaine 18</t>
        </is>
      </c>
      <c r="H385" s="10" t="n">
        <v>46433</v>
      </c>
      <c r="I385" s="10" t="n">
        <v>46439</v>
      </c>
      <c r="J385" s="11" t="n"/>
      <c r="K385" s="9" t="inlineStr">
        <is>
          <t>Europe/Paris</t>
        </is>
      </c>
      <c r="L385" s="9" t="n"/>
      <c r="M385" s="9" t="inlineStr">
        <is>
          <t>États-Unis</t>
        </is>
      </c>
      <c r="N385" s="9" t="inlineStr">
        <is>
          <t>Hommes</t>
        </is>
      </c>
      <c r="O385" s="9" t="inlineStr">
        <is>
          <t>Officiel</t>
        </is>
      </c>
      <c r="P385" s="9" t="inlineStr">
        <is>
          <t>Oui</t>
        </is>
      </c>
      <c r="Q385" s="9" t="inlineStr">
        <is>
          <t>https://www.nba.com/news/2026-27-schedule-announced</t>
        </is>
      </c>
      <c r="R385" s="10" t="n">
        <v>46311</v>
      </c>
      <c r="S385" s="9" t="inlineStr">
        <is>
          <t>Pause All-Star 19-24/02</t>
        </is>
      </c>
      <c r="T385" s="9">
        <f>IF(H385="","",IF(MAX(H385,I385)&lt;TODAY(),"Terminé",IF(H385&lt;=TODAY(),"En cours","À venir")))</f>
        <v/>
      </c>
    </row>
    <row r="386">
      <c r="A386" s="9" t="inlineStr">
        <is>
          <t>NBA-2627-028</t>
        </is>
      </c>
      <c r="B386" s="9" t="inlineStr">
        <is>
          <t>Basketball</t>
        </is>
      </c>
      <c r="C386" s="9" t="inlineStr">
        <is>
          <t>NBA</t>
        </is>
      </c>
      <c r="D386" s="9" t="inlineStr">
        <is>
          <t>2026-2027</t>
        </is>
      </c>
      <c r="E386" s="9" t="inlineStr">
        <is>
          <t>All-Star</t>
        </is>
      </c>
      <c r="F386" s="9" t="n"/>
      <c r="G386" s="9" t="inlineStr">
        <is>
          <t>NBA – All-Star Weekend 2027</t>
        </is>
      </c>
      <c r="H386" s="10" t="n">
        <v>46437</v>
      </c>
      <c r="I386" s="10" t="n">
        <v>46439</v>
      </c>
      <c r="J386" s="11" t="n"/>
      <c r="K386" s="9" t="inlineStr">
        <is>
          <t>Europe/Paris</t>
        </is>
      </c>
      <c r="L386" s="9" t="inlineStr">
        <is>
          <t>Mortgage Matchup Center, Phoenix</t>
        </is>
      </c>
      <c r="M386" s="9" t="inlineStr">
        <is>
          <t>États-Unis</t>
        </is>
      </c>
      <c r="N386" s="9" t="inlineStr">
        <is>
          <t>Hommes</t>
        </is>
      </c>
      <c r="O386" s="9" t="inlineStr">
        <is>
          <t>Officiel</t>
        </is>
      </c>
      <c r="P386" s="9" t="inlineStr">
        <is>
          <t>Oui</t>
        </is>
      </c>
      <c r="Q386" s="9" t="inlineStr">
        <is>
          <t>https://www.nba.com/news/key-dates</t>
        </is>
      </c>
      <c r="R386" s="10" t="n">
        <v>46311</v>
      </c>
      <c r="S386" s="9" t="inlineStr">
        <is>
          <t>Match All-Star dimanche 21/02</t>
        </is>
      </c>
      <c r="T386" s="9">
        <f>IF(H386="","",IF(MAX(H386,I386)&lt;TODAY(),"Terminé",IF(H386&lt;=TODAY(),"En cours","À venir")))</f>
        <v/>
      </c>
    </row>
    <row r="387">
      <c r="A387" s="9" t="inlineStr">
        <is>
          <t>NBA-2627-029</t>
        </is>
      </c>
      <c r="B387" s="9" t="inlineStr">
        <is>
          <t>Basketball</t>
        </is>
      </c>
      <c r="C387" s="9" t="inlineStr">
        <is>
          <t>NBA</t>
        </is>
      </c>
      <c r="D387" s="9" t="inlineStr">
        <is>
          <t>2026-2027</t>
        </is>
      </c>
      <c r="E387" s="9" t="inlineStr">
        <is>
          <t>Saison régulière</t>
        </is>
      </c>
      <c r="F387" s="9" t="n">
        <v>19</v>
      </c>
      <c r="G387" s="9" t="inlineStr">
        <is>
          <t>NBA – Semaine 19</t>
        </is>
      </c>
      <c r="H387" s="10" t="n">
        <v>46440</v>
      </c>
      <c r="I387" s="10" t="n">
        <v>46446</v>
      </c>
      <c r="J387" s="11" t="n"/>
      <c r="K387" s="9" t="inlineStr">
        <is>
          <t>Europe/Paris</t>
        </is>
      </c>
      <c r="L387" s="9" t="n"/>
      <c r="M387" s="9" t="inlineStr">
        <is>
          <t>États-Unis</t>
        </is>
      </c>
      <c r="N387" s="9" t="inlineStr">
        <is>
          <t>Hommes</t>
        </is>
      </c>
      <c r="O387" s="9" t="inlineStr">
        <is>
          <t>Officiel</t>
        </is>
      </c>
      <c r="P387" s="9" t="inlineStr">
        <is>
          <t>Oui</t>
        </is>
      </c>
      <c r="Q387" s="9" t="inlineStr">
        <is>
          <t>https://www.nba.com/news/2026-27-schedule-announced</t>
        </is>
      </c>
      <c r="R387" s="10" t="n">
        <v>46311</v>
      </c>
      <c r="S387" s="9" t="n"/>
      <c r="T387" s="9">
        <f>IF(H387="","",IF(MAX(H387,I387)&lt;TODAY(),"Terminé",IF(H387&lt;=TODAY(),"En cours","À venir")))</f>
        <v/>
      </c>
    </row>
    <row r="388">
      <c r="A388" s="9" t="inlineStr">
        <is>
          <t>NBA-2627-030</t>
        </is>
      </c>
      <c r="B388" s="9" t="inlineStr">
        <is>
          <t>Basketball</t>
        </is>
      </c>
      <c r="C388" s="9" t="inlineStr">
        <is>
          <t>NBA</t>
        </is>
      </c>
      <c r="D388" s="9" t="inlineStr">
        <is>
          <t>2026-2027</t>
        </is>
      </c>
      <c r="E388" s="9" t="inlineStr">
        <is>
          <t>Saison régulière</t>
        </is>
      </c>
      <c r="F388" s="9" t="n">
        <v>20</v>
      </c>
      <c r="G388" s="9" t="inlineStr">
        <is>
          <t>NBA – Semaine 20</t>
        </is>
      </c>
      <c r="H388" s="10" t="n">
        <v>46447</v>
      </c>
      <c r="I388" s="10" t="n">
        <v>46453</v>
      </c>
      <c r="J388" s="11" t="n"/>
      <c r="K388" s="9" t="inlineStr">
        <is>
          <t>Europe/Paris</t>
        </is>
      </c>
      <c r="L388" s="9" t="n"/>
      <c r="M388" s="9" t="inlineStr">
        <is>
          <t>États-Unis</t>
        </is>
      </c>
      <c r="N388" s="9" t="inlineStr">
        <is>
          <t>Hommes</t>
        </is>
      </c>
      <c r="O388" s="9" t="inlineStr">
        <is>
          <t>Officiel</t>
        </is>
      </c>
      <c r="P388" s="9" t="inlineStr">
        <is>
          <t>Oui</t>
        </is>
      </c>
      <c r="Q388" s="9" t="inlineStr">
        <is>
          <t>https://www.nba.com/news/2026-27-schedule-announced</t>
        </is>
      </c>
      <c r="R388" s="10" t="n">
        <v>46311</v>
      </c>
      <c r="S388" s="9" t="n"/>
      <c r="T388" s="9">
        <f>IF(H388="","",IF(MAX(H388,I388)&lt;TODAY(),"Terminé",IF(H388&lt;=TODAY(),"En cours","À venir")))</f>
        <v/>
      </c>
    </row>
    <row r="389">
      <c r="A389" s="9" t="inlineStr">
        <is>
          <t>NBA-2627-031</t>
        </is>
      </c>
      <c r="B389" s="9" t="inlineStr">
        <is>
          <t>Basketball</t>
        </is>
      </c>
      <c r="C389" s="9" t="inlineStr">
        <is>
          <t>NBA</t>
        </is>
      </c>
      <c r="D389" s="9" t="inlineStr">
        <is>
          <t>2026-2027</t>
        </is>
      </c>
      <c r="E389" s="9" t="inlineStr">
        <is>
          <t>Saison régulière</t>
        </is>
      </c>
      <c r="F389" s="9" t="n">
        <v>21</v>
      </c>
      <c r="G389" s="9" t="inlineStr">
        <is>
          <t>NBA – Semaine 21</t>
        </is>
      </c>
      <c r="H389" s="10" t="n">
        <v>46454</v>
      </c>
      <c r="I389" s="10" t="n">
        <v>46460</v>
      </c>
      <c r="J389" s="11" t="n"/>
      <c r="K389" s="9" t="inlineStr">
        <is>
          <t>Europe/Paris</t>
        </is>
      </c>
      <c r="L389" s="9" t="n"/>
      <c r="M389" s="9" t="inlineStr">
        <is>
          <t>États-Unis</t>
        </is>
      </c>
      <c r="N389" s="9" t="inlineStr">
        <is>
          <t>Hommes</t>
        </is>
      </c>
      <c r="O389" s="9" t="inlineStr">
        <is>
          <t>Officiel</t>
        </is>
      </c>
      <c r="P389" s="9" t="inlineStr">
        <is>
          <t>Oui</t>
        </is>
      </c>
      <c r="Q389" s="9" t="inlineStr">
        <is>
          <t>https://www.nba.com/news/2026-27-schedule-announced</t>
        </is>
      </c>
      <c r="R389" s="10" t="n">
        <v>46311</v>
      </c>
      <c r="S389" s="9" t="n"/>
      <c r="T389" s="9">
        <f>IF(H389="","",IF(MAX(H389,I389)&lt;TODAY(),"Terminé",IF(H389&lt;=TODAY(),"En cours","À venir")))</f>
        <v/>
      </c>
    </row>
    <row r="390">
      <c r="A390" s="9" t="inlineStr">
        <is>
          <t>NBA-2627-032</t>
        </is>
      </c>
      <c r="B390" s="9" t="inlineStr">
        <is>
          <t>Basketball</t>
        </is>
      </c>
      <c r="C390" s="9" t="inlineStr">
        <is>
          <t>NBA</t>
        </is>
      </c>
      <c r="D390" s="9" t="inlineStr">
        <is>
          <t>2026-2027</t>
        </is>
      </c>
      <c r="E390" s="9" t="inlineStr">
        <is>
          <t>Saison régulière</t>
        </is>
      </c>
      <c r="F390" s="9" t="n">
        <v>22</v>
      </c>
      <c r="G390" s="9" t="inlineStr">
        <is>
          <t>NBA – Semaine 22</t>
        </is>
      </c>
      <c r="H390" s="10" t="n">
        <v>46461</v>
      </c>
      <c r="I390" s="10" t="n">
        <v>46467</v>
      </c>
      <c r="J390" s="11" t="n"/>
      <c r="K390" s="9" t="inlineStr">
        <is>
          <t>Europe/Paris</t>
        </is>
      </c>
      <c r="L390" s="9" t="n"/>
      <c r="M390" s="9" t="inlineStr">
        <is>
          <t>États-Unis</t>
        </is>
      </c>
      <c r="N390" s="9" t="inlineStr">
        <is>
          <t>Hommes</t>
        </is>
      </c>
      <c r="O390" s="9" t="inlineStr">
        <is>
          <t>Officiel</t>
        </is>
      </c>
      <c r="P390" s="9" t="inlineStr">
        <is>
          <t>Oui</t>
        </is>
      </c>
      <c r="Q390" s="9" t="inlineStr">
        <is>
          <t>https://www.nba.com/news/2026-27-schedule-announced</t>
        </is>
      </c>
      <c r="R390" s="10" t="n">
        <v>46311</v>
      </c>
      <c r="S390" s="9" t="n"/>
      <c r="T390" s="9">
        <f>IF(H390="","",IF(MAX(H390,I390)&lt;TODAY(),"Terminé",IF(H390&lt;=TODAY(),"En cours","À venir")))</f>
        <v/>
      </c>
    </row>
    <row r="391">
      <c r="A391" s="9" t="inlineStr">
        <is>
          <t>NBA-2627-033</t>
        </is>
      </c>
      <c r="B391" s="9" t="inlineStr">
        <is>
          <t>Basketball</t>
        </is>
      </c>
      <c r="C391" s="9" t="inlineStr">
        <is>
          <t>NBA</t>
        </is>
      </c>
      <c r="D391" s="9" t="inlineStr">
        <is>
          <t>2026-2027</t>
        </is>
      </c>
      <c r="E391" s="9" t="inlineStr">
        <is>
          <t>Saison régulière</t>
        </is>
      </c>
      <c r="F391" s="9" t="n">
        <v>23</v>
      </c>
      <c r="G391" s="9" t="inlineStr">
        <is>
          <t>NBA – Semaine 23</t>
        </is>
      </c>
      <c r="H391" s="10" t="n">
        <v>46468</v>
      </c>
      <c r="I391" s="10" t="n">
        <v>46474</v>
      </c>
      <c r="J391" s="11" t="n"/>
      <c r="K391" s="9" t="inlineStr">
        <is>
          <t>Europe/Paris</t>
        </is>
      </c>
      <c r="L391" s="9" t="n"/>
      <c r="M391" s="9" t="inlineStr">
        <is>
          <t>États-Unis</t>
        </is>
      </c>
      <c r="N391" s="9" t="inlineStr">
        <is>
          <t>Hommes</t>
        </is>
      </c>
      <c r="O391" s="9" t="inlineStr">
        <is>
          <t>Officiel</t>
        </is>
      </c>
      <c r="P391" s="9" t="inlineStr">
        <is>
          <t>Oui</t>
        </is>
      </c>
      <c r="Q391" s="9" t="inlineStr">
        <is>
          <t>https://www.nba.com/news/2026-27-schedule-announced</t>
        </is>
      </c>
      <c r="R391" s="10" t="n">
        <v>46311</v>
      </c>
      <c r="S391" s="9" t="n"/>
      <c r="T391" s="9">
        <f>IF(H391="","",IF(MAX(H391,I391)&lt;TODAY(),"Terminé",IF(H391&lt;=TODAY(),"En cours","À venir")))</f>
        <v/>
      </c>
    </row>
    <row r="392">
      <c r="A392" s="9" t="inlineStr">
        <is>
          <t>NBA-2627-034</t>
        </is>
      </c>
      <c r="B392" s="9" t="inlineStr">
        <is>
          <t>Basketball</t>
        </is>
      </c>
      <c r="C392" s="9" t="inlineStr">
        <is>
          <t>NBA</t>
        </is>
      </c>
      <c r="D392" s="9" t="inlineStr">
        <is>
          <t>2026-2027</t>
        </is>
      </c>
      <c r="E392" s="9" t="inlineStr">
        <is>
          <t>Saison régulière</t>
        </is>
      </c>
      <c r="F392" s="9" t="n">
        <v>24</v>
      </c>
      <c r="G392" s="9" t="inlineStr">
        <is>
          <t>NBA – Semaine 24</t>
        </is>
      </c>
      <c r="H392" s="10" t="n">
        <v>46475</v>
      </c>
      <c r="I392" s="10" t="n">
        <v>46481</v>
      </c>
      <c r="J392" s="11" t="n"/>
      <c r="K392" s="9" t="inlineStr">
        <is>
          <t>Europe/Paris</t>
        </is>
      </c>
      <c r="L392" s="9" t="n"/>
      <c r="M392" s="9" t="inlineStr">
        <is>
          <t>États-Unis</t>
        </is>
      </c>
      <c r="N392" s="9" t="inlineStr">
        <is>
          <t>Hommes</t>
        </is>
      </c>
      <c r="O392" s="9" t="inlineStr">
        <is>
          <t>Officiel</t>
        </is>
      </c>
      <c r="P392" s="9" t="inlineStr">
        <is>
          <t>Oui</t>
        </is>
      </c>
      <c r="Q392" s="9" t="inlineStr">
        <is>
          <t>https://www.nba.com/news/2026-27-schedule-announced</t>
        </is>
      </c>
      <c r="R392" s="10" t="n">
        <v>46311</v>
      </c>
      <c r="S392" s="9" t="n"/>
      <c r="T392" s="9">
        <f>IF(H392="","",IF(MAX(H392,I392)&lt;TODAY(),"Terminé",IF(H392&lt;=TODAY(),"En cours","À venir")))</f>
        <v/>
      </c>
    </row>
    <row r="393">
      <c r="A393" s="9" t="inlineStr">
        <is>
          <t>NBA-2627-035</t>
        </is>
      </c>
      <c r="B393" s="9" t="inlineStr">
        <is>
          <t>Basketball</t>
        </is>
      </c>
      <c r="C393" s="9" t="inlineStr">
        <is>
          <t>NBA</t>
        </is>
      </c>
      <c r="D393" s="9" t="inlineStr">
        <is>
          <t>2026-2027</t>
        </is>
      </c>
      <c r="E393" s="9" t="inlineStr">
        <is>
          <t>Saison régulière</t>
        </is>
      </c>
      <c r="F393" s="9" t="n">
        <v>25</v>
      </c>
      <c r="G393" s="9" t="inlineStr">
        <is>
          <t>NBA – Semaine 25</t>
        </is>
      </c>
      <c r="H393" s="10" t="n">
        <v>46482</v>
      </c>
      <c r="I393" s="10" t="n">
        <v>46488</v>
      </c>
      <c r="J393" s="11" t="n"/>
      <c r="K393" s="9" t="inlineStr">
        <is>
          <t>Europe/Paris</t>
        </is>
      </c>
      <c r="L393" s="9" t="n"/>
      <c r="M393" s="9" t="inlineStr">
        <is>
          <t>États-Unis</t>
        </is>
      </c>
      <c r="N393" s="9" t="inlineStr">
        <is>
          <t>Hommes</t>
        </is>
      </c>
      <c r="O393" s="9" t="inlineStr">
        <is>
          <t>Officiel</t>
        </is>
      </c>
      <c r="P393" s="9" t="inlineStr">
        <is>
          <t>Oui</t>
        </is>
      </c>
      <c r="Q393" s="9" t="inlineStr">
        <is>
          <t>https://www.nba.com/news/2026-27-schedule-announced</t>
        </is>
      </c>
      <c r="R393" s="10" t="n">
        <v>46311</v>
      </c>
      <c r="S393" s="9" t="n"/>
      <c r="T393" s="9">
        <f>IF(H393="","",IF(MAX(H393,I393)&lt;TODAY(),"Terminé",IF(H393&lt;=TODAY(),"En cours","À venir")))</f>
        <v/>
      </c>
    </row>
    <row r="394">
      <c r="A394" s="9" t="inlineStr">
        <is>
          <t>NBA-2627-036</t>
        </is>
      </c>
      <c r="B394" s="9" t="inlineStr">
        <is>
          <t>Basketball</t>
        </is>
      </c>
      <c r="C394" s="9" t="inlineStr">
        <is>
          <t>NBA</t>
        </is>
      </c>
      <c r="D394" s="9" t="inlineStr">
        <is>
          <t>2026-2027</t>
        </is>
      </c>
      <c r="E394" s="9" t="inlineStr">
        <is>
          <t>Saison régulière</t>
        </is>
      </c>
      <c r="F394" s="9" t="n"/>
      <c r="G394" s="9" t="inlineStr">
        <is>
          <t>NBA – Fin de la saison régulière</t>
        </is>
      </c>
      <c r="H394" s="10" t="n">
        <v>46488</v>
      </c>
      <c r="I394" s="10" t="n">
        <v>46488</v>
      </c>
      <c r="J394" s="11" t="n"/>
      <c r="K394" s="9" t="inlineStr">
        <is>
          <t>Europe/Paris</t>
        </is>
      </c>
      <c r="L394" s="9" t="n"/>
      <c r="M394" s="9" t="inlineStr">
        <is>
          <t>États-Unis</t>
        </is>
      </c>
      <c r="N394" s="9" t="inlineStr">
        <is>
          <t>Hommes</t>
        </is>
      </c>
      <c r="O394" s="9" t="inlineStr">
        <is>
          <t>Officiel</t>
        </is>
      </c>
      <c r="P394" s="9" t="inlineStr">
        <is>
          <t>Oui</t>
        </is>
      </c>
      <c r="Q394" s="9" t="inlineStr">
        <is>
          <t>https://www.nba.com/news/key-dates</t>
        </is>
      </c>
      <c r="R394" s="10" t="n">
        <v>46311</v>
      </c>
      <c r="S394" s="9" t="n"/>
      <c r="T394" s="9">
        <f>IF(H394="","",IF(MAX(H394,I394)&lt;TODAY(),"Terminé",IF(H394&lt;=TODAY(),"En cours","À venir")))</f>
        <v/>
      </c>
    </row>
    <row r="395">
      <c r="A395" s="9" t="inlineStr">
        <is>
          <t>NBA-2627-037</t>
        </is>
      </c>
      <c r="B395" s="9" t="inlineStr">
        <is>
          <t>Basketball</t>
        </is>
      </c>
      <c r="C395" s="9" t="inlineStr">
        <is>
          <t>NBA</t>
        </is>
      </c>
      <c r="D395" s="9" t="inlineStr">
        <is>
          <t>2026-2027</t>
        </is>
      </c>
      <c r="E395" s="9" t="inlineStr">
        <is>
          <t>Play-in</t>
        </is>
      </c>
      <c r="F395" s="9" t="n"/>
      <c r="G395" s="9" t="inlineStr">
        <is>
          <t>NBA – Play-In Tournament</t>
        </is>
      </c>
      <c r="H395" s="10" t="n">
        <v>46490</v>
      </c>
      <c r="I395" s="10" t="n">
        <v>46493</v>
      </c>
      <c r="J395" s="11" t="n"/>
      <c r="K395" s="9" t="inlineStr">
        <is>
          <t>Europe/Paris</t>
        </is>
      </c>
      <c r="L395" s="9" t="n"/>
      <c r="M395" s="9" t="inlineStr">
        <is>
          <t>États-Unis</t>
        </is>
      </c>
      <c r="N395" s="9" t="inlineStr">
        <is>
          <t>Hommes</t>
        </is>
      </c>
      <c r="O395" s="9" t="inlineStr">
        <is>
          <t>Officiel</t>
        </is>
      </c>
      <c r="P395" s="9" t="inlineStr">
        <is>
          <t>Oui</t>
        </is>
      </c>
      <c r="Q395" s="9" t="inlineStr">
        <is>
          <t>https://www.nba.com/news/key-dates</t>
        </is>
      </c>
      <c r="R395" s="10" t="n">
        <v>46311</v>
      </c>
      <c r="S395" s="9" t="n"/>
      <c r="T395" s="9">
        <f>IF(H395="","",IF(MAX(H395,I395)&lt;TODAY(),"Terminé",IF(H395&lt;=TODAY(),"En cours","À venir")))</f>
        <v/>
      </c>
    </row>
    <row r="396">
      <c r="A396" s="9" t="inlineStr">
        <is>
          <t>NBA-2627-038</t>
        </is>
      </c>
      <c r="B396" s="9" t="inlineStr">
        <is>
          <t>Basketball</t>
        </is>
      </c>
      <c r="C396" s="9" t="inlineStr">
        <is>
          <t>NBA</t>
        </is>
      </c>
      <c r="D396" s="9" t="inlineStr">
        <is>
          <t>2026-2027</t>
        </is>
      </c>
      <c r="E396" s="9" t="inlineStr">
        <is>
          <t>Finales NBA</t>
        </is>
      </c>
      <c r="F396" s="9" t="n"/>
      <c r="G396" s="9" t="inlineStr">
        <is>
          <t>Finales NBA 2027</t>
        </is>
      </c>
      <c r="H396" s="10" t="n"/>
      <c r="I396" s="10" t="n"/>
      <c r="J396" s="11" t="n"/>
      <c r="K396" s="9" t="inlineStr">
        <is>
          <t>Europe/Paris</t>
        </is>
      </c>
      <c r="L396" s="9" t="n"/>
      <c r="M396" s="9" t="inlineStr">
        <is>
          <t>États-Unis</t>
        </is>
      </c>
      <c r="N396" s="9" t="inlineStr">
        <is>
          <t>Hommes</t>
        </is>
      </c>
      <c r="O396" s="9" t="inlineStr">
        <is>
          <t>À confirmer</t>
        </is>
      </c>
      <c r="P396" s="9" t="inlineStr">
        <is>
          <t>Oui</t>
        </is>
      </c>
      <c r="Q396" s="9" t="inlineStr">
        <is>
          <t>https://www.nba.com/news/key-dates</t>
        </is>
      </c>
      <c r="R396" s="10" t="n">
        <v>46311</v>
      </c>
      <c r="S396" s="9" t="inlineStr">
        <is>
          <t>Annoncées en juin 2027, dates exactes non publiées</t>
        </is>
      </c>
      <c r="T396" s="9">
        <f>IF(H396="","",IF(MAX(H396,I396)&lt;TODAY(),"Terminé",IF(H396&lt;=TODAY(),"En cours","À venir")))</f>
        <v/>
      </c>
    </row>
    <row r="397">
      <c r="A397" s="9" t="inlineStr">
        <is>
          <t>NBA-2627-039</t>
        </is>
      </c>
      <c r="B397" s="9" t="inlineStr">
        <is>
          <t>Basketball</t>
        </is>
      </c>
      <c r="C397" s="9" t="inlineStr">
        <is>
          <t>NBA</t>
        </is>
      </c>
      <c r="D397" s="9" t="inlineStr">
        <is>
          <t>2026-2027</t>
        </is>
      </c>
      <c r="E397" s="9" t="inlineStr">
        <is>
          <t>Play-offs – Demi-finales de conférence</t>
        </is>
      </c>
      <c r="F397" s="9" t="n"/>
      <c r="G397" s="9" t="inlineStr">
        <is>
          <t>NBA – Demi-finales de conférence</t>
        </is>
      </c>
      <c r="H397" s="10" t="n"/>
      <c r="I397" s="10" t="n"/>
      <c r="J397" s="11" t="n"/>
      <c r="K397" s="9" t="inlineStr">
        <is>
          <t>Europe/Paris</t>
        </is>
      </c>
      <c r="L397" s="9" t="n"/>
      <c r="M397" s="9" t="inlineStr">
        <is>
          <t>États-Unis</t>
        </is>
      </c>
      <c r="N397" s="9" t="inlineStr">
        <is>
          <t>Hommes</t>
        </is>
      </c>
      <c r="O397" s="9" t="inlineStr">
        <is>
          <t>À confirmer</t>
        </is>
      </c>
      <c r="P397" s="9" t="inlineStr">
        <is>
          <t>Oui</t>
        </is>
      </c>
      <c r="Q397" s="9" t="inlineStr">
        <is>
          <t>https://www.nba.com/news/key-dates</t>
        </is>
      </c>
      <c r="R397" s="10" t="n">
        <v>46311</v>
      </c>
      <c r="S397" s="9" t="inlineStr">
        <is>
          <t>Dates non publiées par la NBA à ce jour</t>
        </is>
      </c>
      <c r="T397" s="9">
        <f>IF(H397="","",IF(MAX(H397,I397)&lt;TODAY(),"Terminé",IF(H397&lt;=TODAY(),"En cours","À venir")))</f>
        <v/>
      </c>
    </row>
    <row r="398">
      <c r="A398" s="9" t="inlineStr">
        <is>
          <t>NBA-2627-040</t>
        </is>
      </c>
      <c r="B398" s="9" t="inlineStr">
        <is>
          <t>Basketball</t>
        </is>
      </c>
      <c r="C398" s="9" t="inlineStr">
        <is>
          <t>NBA</t>
        </is>
      </c>
      <c r="D398" s="9" t="inlineStr">
        <is>
          <t>2026-2027</t>
        </is>
      </c>
      <c r="E398" s="9" t="inlineStr">
        <is>
          <t>Play-offs – Finales de conférence</t>
        </is>
      </c>
      <c r="F398" s="9" t="n"/>
      <c r="G398" s="9" t="inlineStr">
        <is>
          <t>NBA – Finales de conférence</t>
        </is>
      </c>
      <c r="H398" s="10" t="n"/>
      <c r="I398" s="10" t="n"/>
      <c r="J398" s="11" t="n"/>
      <c r="K398" s="9" t="inlineStr">
        <is>
          <t>Europe/Paris</t>
        </is>
      </c>
      <c r="L398" s="9" t="n"/>
      <c r="M398" s="9" t="inlineStr">
        <is>
          <t>États-Unis</t>
        </is>
      </c>
      <c r="N398" s="9" t="inlineStr">
        <is>
          <t>Hommes</t>
        </is>
      </c>
      <c r="O398" s="9" t="inlineStr">
        <is>
          <t>À confirmer</t>
        </is>
      </c>
      <c r="P398" s="9" t="inlineStr">
        <is>
          <t>Oui</t>
        </is>
      </c>
      <c r="Q398" s="9" t="inlineStr">
        <is>
          <t>https://www.nba.com/news/key-dates</t>
        </is>
      </c>
      <c r="R398" s="10" t="n">
        <v>46311</v>
      </c>
      <c r="S398" s="9" t="inlineStr">
        <is>
          <t>Dates non publiées par la NBA à ce jour</t>
        </is>
      </c>
      <c r="T398" s="9">
        <f>IF(H398="","",IF(MAX(H398,I398)&lt;TODAY(),"Terminé",IF(H398&lt;=TODAY(),"En cours","À venir")))</f>
        <v/>
      </c>
    </row>
    <row r="399">
      <c r="A399" s="9" t="inlineStr">
        <is>
          <t>NBA-2627-041</t>
        </is>
      </c>
      <c r="B399" s="9" t="inlineStr">
        <is>
          <t>Basketball</t>
        </is>
      </c>
      <c r="C399" s="9" t="inlineStr">
        <is>
          <t>NBA</t>
        </is>
      </c>
      <c r="D399" s="9" t="inlineStr">
        <is>
          <t>2026-2027</t>
        </is>
      </c>
      <c r="E399" s="9" t="inlineStr">
        <is>
          <t>Play-offs – 1er tour</t>
        </is>
      </c>
      <c r="F399" s="9" t="n"/>
      <c r="G399" s="9" t="inlineStr">
        <is>
          <t>NBA – Play-offs 1er tour</t>
        </is>
      </c>
      <c r="H399" s="10" t="n"/>
      <c r="I399" s="10" t="n"/>
      <c r="J399" s="11" t="n"/>
      <c r="K399" s="9" t="inlineStr">
        <is>
          <t>Europe/Paris</t>
        </is>
      </c>
      <c r="L399" s="9" t="n"/>
      <c r="M399" s="9" t="inlineStr">
        <is>
          <t>États-Unis</t>
        </is>
      </c>
      <c r="N399" s="9" t="inlineStr">
        <is>
          <t>Hommes</t>
        </is>
      </c>
      <c r="O399" s="9" t="inlineStr">
        <is>
          <t>À confirmer</t>
        </is>
      </c>
      <c r="P399" s="9" t="inlineStr">
        <is>
          <t>Oui</t>
        </is>
      </c>
      <c r="Q399" s="9" t="inlineStr">
        <is>
          <t>https://www.nba.com/news/key-dates</t>
        </is>
      </c>
      <c r="R399" s="10" t="n">
        <v>46311</v>
      </c>
      <c r="S399" s="9" t="inlineStr">
        <is>
          <t>Dates non publiées par la NBA à ce jour (début attendu après le Play-In, mi-avril)</t>
        </is>
      </c>
      <c r="T399" s="9">
        <f>IF(H399="","",IF(MAX(H399,I399)&lt;TODAY(),"Terminé",IF(H399&lt;=TODAY(),"En cours","À venir")))</f>
        <v/>
      </c>
    </row>
    <row r="400">
      <c r="A400" s="9" t="inlineStr">
        <is>
          <t>NFL-2627-001</t>
        </is>
      </c>
      <c r="B400" s="9" t="inlineStr">
        <is>
          <t>Football américain</t>
        </is>
      </c>
      <c r="C400" s="9" t="inlineStr">
        <is>
          <t>NFL</t>
        </is>
      </c>
      <c r="D400" s="9" t="inlineStr">
        <is>
          <t>2026-2027</t>
        </is>
      </c>
      <c r="E400" s="9" t="inlineStr">
        <is>
          <t>Saison régulière</t>
        </is>
      </c>
      <c r="F400" s="9" t="n">
        <v>1</v>
      </c>
      <c r="G400" s="9" t="inlineStr">
        <is>
          <t>NFL – Semaine 1</t>
        </is>
      </c>
      <c r="H400" s="10" t="n">
        <v>46274</v>
      </c>
      <c r="I400" s="10" t="n">
        <v>46279</v>
      </c>
      <c r="J400" s="11" t="n"/>
      <c r="K400" s="9" t="inlineStr">
        <is>
          <t>Europe/Paris</t>
        </is>
      </c>
      <c r="L400" s="9" t="n"/>
      <c r="M400" s="9" t="inlineStr">
        <is>
          <t>États-Unis</t>
        </is>
      </c>
      <c r="N400" s="9" t="inlineStr">
        <is>
          <t>Hommes</t>
        </is>
      </c>
      <c r="O400" s="9" t="inlineStr">
        <is>
          <t>Officiel</t>
        </is>
      </c>
      <c r="P400" s="9" t="inlineStr">
        <is>
          <t>Oui</t>
        </is>
      </c>
      <c r="Q400" s="9" t="inlineStr">
        <is>
          <t>https://www.nfl.com/news/2026-nfl-schedule-release-complete-slate-of-week-1-games</t>
        </is>
      </c>
      <c r="R400" s="10" t="n">
        <v>46311</v>
      </c>
      <c r="S400" s="9" t="inlineStr">
        <is>
          <t>Ouverture mercredi 09/09 : Patriots @ Seahawks ; Jeu 10/09 : Rams – 49ers à Melbourne (MCG), 1er match NFL en Australie</t>
        </is>
      </c>
      <c r="T400" s="9">
        <f>IF(H400="","",IF(MAX(H400,I400)&lt;TODAY(),"Terminé",IF(H400&lt;=TODAY(),"En cours","À venir")))</f>
        <v/>
      </c>
    </row>
    <row r="401">
      <c r="A401" s="9" t="inlineStr">
        <is>
          <t>NFL-2627-002</t>
        </is>
      </c>
      <c r="B401" s="9" t="inlineStr">
        <is>
          <t>Football américain</t>
        </is>
      </c>
      <c r="C401" s="9" t="inlineStr">
        <is>
          <t>NFL</t>
        </is>
      </c>
      <c r="D401" s="9" t="inlineStr">
        <is>
          <t>2026-2027</t>
        </is>
      </c>
      <c r="E401" s="9" t="inlineStr">
        <is>
          <t>Saison régulière</t>
        </is>
      </c>
      <c r="F401" s="9" t="n">
        <v>2</v>
      </c>
      <c r="G401" s="9" t="inlineStr">
        <is>
          <t>NFL – Semaine 2</t>
        </is>
      </c>
      <c r="H401" s="10" t="n">
        <v>46282</v>
      </c>
      <c r="I401" s="10" t="n">
        <v>46286</v>
      </c>
      <c r="J401" s="11" t="n"/>
      <c r="K401" s="9" t="inlineStr">
        <is>
          <t>Europe/Paris</t>
        </is>
      </c>
      <c r="L401" s="9" t="n"/>
      <c r="M401" s="9" t="inlineStr">
        <is>
          <t>États-Unis</t>
        </is>
      </c>
      <c r="N401" s="9" t="inlineStr">
        <is>
          <t>Hommes</t>
        </is>
      </c>
      <c r="O401" s="9" t="inlineStr">
        <is>
          <t>Officiel</t>
        </is>
      </c>
      <c r="P401" s="9" t="inlineStr">
        <is>
          <t>Oui</t>
        </is>
      </c>
      <c r="Q401" s="9" t="inlineStr">
        <is>
          <t>https://fbschedules.com/2026-nfl-thursday-night-football-schedule/</t>
        </is>
      </c>
      <c r="R401" s="10" t="n">
        <v>46311</v>
      </c>
      <c r="S401" s="9" t="n"/>
      <c r="T401" s="9">
        <f>IF(H401="","",IF(MAX(H401,I401)&lt;TODAY(),"Terminé",IF(H401&lt;=TODAY(),"En cours","À venir")))</f>
        <v/>
      </c>
    </row>
    <row r="402">
      <c r="A402" s="9" t="inlineStr">
        <is>
          <t>NFL-2627-003</t>
        </is>
      </c>
      <c r="B402" s="9" t="inlineStr">
        <is>
          <t>Football américain</t>
        </is>
      </c>
      <c r="C402" s="9" t="inlineStr">
        <is>
          <t>NFL</t>
        </is>
      </c>
      <c r="D402" s="9" t="inlineStr">
        <is>
          <t>2026-2027</t>
        </is>
      </c>
      <c r="E402" s="9" t="inlineStr">
        <is>
          <t>Saison régulière</t>
        </is>
      </c>
      <c r="F402" s="9" t="n">
        <v>3</v>
      </c>
      <c r="G402" s="9" t="inlineStr">
        <is>
          <t>NFL – Semaine 3</t>
        </is>
      </c>
      <c r="H402" s="10" t="n">
        <v>46289</v>
      </c>
      <c r="I402" s="10" t="n">
        <v>46293</v>
      </c>
      <c r="J402" s="11" t="n"/>
      <c r="K402" s="9" t="inlineStr">
        <is>
          <t>Europe/Paris</t>
        </is>
      </c>
      <c r="L402" s="9" t="n"/>
      <c r="M402" s="9" t="inlineStr">
        <is>
          <t>États-Unis</t>
        </is>
      </c>
      <c r="N402" s="9" t="inlineStr">
        <is>
          <t>Hommes</t>
        </is>
      </c>
      <c r="O402" s="9" t="inlineStr">
        <is>
          <t>Officiel</t>
        </is>
      </c>
      <c r="P402" s="9" t="inlineStr">
        <is>
          <t>Oui</t>
        </is>
      </c>
      <c r="Q402" s="9" t="inlineStr">
        <is>
          <t>https://operations.nfl.com/updates/the-game/2026-nfl-international-games-schedule-released/</t>
        </is>
      </c>
      <c r="R402" s="10" t="n">
        <v>46311</v>
      </c>
      <c r="S402" s="9" t="inlineStr">
        <is>
          <t>Dim 27/09 : Ravens – Cowboys à Rio (Maracanã)</t>
        </is>
      </c>
      <c r="T402" s="9">
        <f>IF(H402="","",IF(MAX(H402,I402)&lt;TODAY(),"Terminé",IF(H402&lt;=TODAY(),"En cours","À venir")))</f>
        <v/>
      </c>
    </row>
    <row r="403">
      <c r="A403" s="9" t="inlineStr">
        <is>
          <t>NFL-2627-004</t>
        </is>
      </c>
      <c r="B403" s="9" t="inlineStr">
        <is>
          <t>Football américain</t>
        </is>
      </c>
      <c r="C403" s="9" t="inlineStr">
        <is>
          <t>NFL</t>
        </is>
      </c>
      <c r="D403" s="9" t="inlineStr">
        <is>
          <t>2026-2027</t>
        </is>
      </c>
      <c r="E403" s="9" t="inlineStr">
        <is>
          <t>Saison régulière</t>
        </is>
      </c>
      <c r="F403" s="9" t="n">
        <v>4</v>
      </c>
      <c r="G403" s="9" t="inlineStr">
        <is>
          <t>NFL – Semaine 4</t>
        </is>
      </c>
      <c r="H403" s="10" t="n">
        <v>46296</v>
      </c>
      <c r="I403" s="10" t="n">
        <v>46300</v>
      </c>
      <c r="J403" s="11" t="n"/>
      <c r="K403" s="9" t="inlineStr">
        <is>
          <t>Europe/Paris</t>
        </is>
      </c>
      <c r="L403" s="9" t="n"/>
      <c r="M403" s="9" t="inlineStr">
        <is>
          <t>États-Unis</t>
        </is>
      </c>
      <c r="N403" s="9" t="inlineStr">
        <is>
          <t>Hommes</t>
        </is>
      </c>
      <c r="O403" s="9" t="inlineStr">
        <is>
          <t>Officiel</t>
        </is>
      </c>
      <c r="P403" s="9" t="inlineStr">
        <is>
          <t>Oui</t>
        </is>
      </c>
      <c r="Q403" s="9" t="inlineStr">
        <is>
          <t>https://operations.nfl.com/updates/the-game/2026-nfl-international-games-schedule-released/</t>
        </is>
      </c>
      <c r="R403" s="10" t="n">
        <v>46311</v>
      </c>
      <c r="S403" s="9" t="inlineStr">
        <is>
          <t>Dim 04/10 : Colts – Commanders à Londres</t>
        </is>
      </c>
      <c r="T403" s="9">
        <f>IF(H403="","",IF(MAX(H403,I403)&lt;TODAY(),"Terminé",IF(H403&lt;=TODAY(),"En cours","À venir")))</f>
        <v/>
      </c>
    </row>
    <row r="404">
      <c r="A404" s="9" t="inlineStr">
        <is>
          <t>NFL-2627-005</t>
        </is>
      </c>
      <c r="B404" s="9" t="inlineStr">
        <is>
          <t>Football américain</t>
        </is>
      </c>
      <c r="C404" s="9" t="inlineStr">
        <is>
          <t>NFL</t>
        </is>
      </c>
      <c r="D404" s="9" t="inlineStr">
        <is>
          <t>2026-2027</t>
        </is>
      </c>
      <c r="E404" s="9" t="inlineStr">
        <is>
          <t>Saison régulière</t>
        </is>
      </c>
      <c r="F404" s="9" t="n">
        <v>5</v>
      </c>
      <c r="G404" s="9" t="inlineStr">
        <is>
          <t>NFL – Semaine 5</t>
        </is>
      </c>
      <c r="H404" s="10" t="n">
        <v>46303</v>
      </c>
      <c r="I404" s="10" t="n">
        <v>46307</v>
      </c>
      <c r="J404" s="11" t="n"/>
      <c r="K404" s="9" t="inlineStr">
        <is>
          <t>Europe/Paris</t>
        </is>
      </c>
      <c r="L404" s="9" t="n"/>
      <c r="M404" s="9" t="inlineStr">
        <is>
          <t>États-Unis</t>
        </is>
      </c>
      <c r="N404" s="9" t="inlineStr">
        <is>
          <t>Hommes</t>
        </is>
      </c>
      <c r="O404" s="9" t="inlineStr">
        <is>
          <t>Officiel</t>
        </is>
      </c>
      <c r="P404" s="9" t="inlineStr">
        <is>
          <t>Oui</t>
        </is>
      </c>
      <c r="Q404" s="9" t="inlineStr">
        <is>
          <t>https://operations.nfl.com/updates/the-game/2026-nfl-international-games-schedule-released/</t>
        </is>
      </c>
      <c r="R404" s="10" t="n">
        <v>46311</v>
      </c>
      <c r="S404" s="9" t="inlineStr">
        <is>
          <t>Dim 11/10 : Eagles – Jaguars à Londres</t>
        </is>
      </c>
      <c r="T404" s="9">
        <f>IF(H404="","",IF(MAX(H404,I404)&lt;TODAY(),"Terminé",IF(H404&lt;=TODAY(),"En cours","À venir")))</f>
        <v/>
      </c>
    </row>
    <row r="405">
      <c r="A405" s="9" t="inlineStr">
        <is>
          <t>NFL-2627-006</t>
        </is>
      </c>
      <c r="B405" s="9" t="inlineStr">
        <is>
          <t>Football américain</t>
        </is>
      </c>
      <c r="C405" s="9" t="inlineStr">
        <is>
          <t>NFL</t>
        </is>
      </c>
      <c r="D405" s="9" t="inlineStr">
        <is>
          <t>2026-2027</t>
        </is>
      </c>
      <c r="E405" s="9" t="inlineStr">
        <is>
          <t>Saison régulière</t>
        </is>
      </c>
      <c r="F405" s="9" t="n">
        <v>6</v>
      </c>
      <c r="G405" s="9" t="inlineStr">
        <is>
          <t>NFL – Semaine 6</t>
        </is>
      </c>
      <c r="H405" s="10" t="n">
        <v>46310</v>
      </c>
      <c r="I405" s="10" t="n">
        <v>46314</v>
      </c>
      <c r="J405" s="11" t="n"/>
      <c r="K405" s="9" t="inlineStr">
        <is>
          <t>Europe/Paris</t>
        </is>
      </c>
      <c r="L405" s="9" t="n"/>
      <c r="M405" s="9" t="inlineStr">
        <is>
          <t>États-Unis</t>
        </is>
      </c>
      <c r="N405" s="9" t="inlineStr">
        <is>
          <t>Hommes</t>
        </is>
      </c>
      <c r="O405" s="9" t="inlineStr">
        <is>
          <t>Officiel</t>
        </is>
      </c>
      <c r="P405" s="9" t="inlineStr">
        <is>
          <t>Oui</t>
        </is>
      </c>
      <c r="Q405" s="9" t="inlineStr">
        <is>
          <t>https://operations.nfl.com/updates/the-game/2026-nfl-international-games-schedule-released/</t>
        </is>
      </c>
      <c r="R405" s="10" t="n">
        <v>46311</v>
      </c>
      <c r="S405" s="9" t="inlineStr">
        <is>
          <t>Dim 18/10 : Texans – Jaguars à Londres (Wembley)</t>
        </is>
      </c>
      <c r="T405" s="9">
        <f>IF(H405="","",IF(MAX(H405,I405)&lt;TODAY(),"Terminé",IF(H405&lt;=TODAY(),"En cours","À venir")))</f>
        <v/>
      </c>
    </row>
    <row r="406">
      <c r="A406" s="9" t="inlineStr">
        <is>
          <t>NFL-2627-007</t>
        </is>
      </c>
      <c r="B406" s="9" t="inlineStr">
        <is>
          <t>Football américain</t>
        </is>
      </c>
      <c r="C406" s="9" t="inlineStr">
        <is>
          <t>NFL</t>
        </is>
      </c>
      <c r="D406" s="9" t="inlineStr">
        <is>
          <t>2026-2027</t>
        </is>
      </c>
      <c r="E406" s="9" t="inlineStr">
        <is>
          <t>Saison régulière</t>
        </is>
      </c>
      <c r="F406" s="9" t="n">
        <v>7</v>
      </c>
      <c r="G406" s="9" t="inlineStr">
        <is>
          <t>NFL – Semaine 7</t>
        </is>
      </c>
      <c r="H406" s="10" t="n">
        <v>46317</v>
      </c>
      <c r="I406" s="10" t="n">
        <v>46321</v>
      </c>
      <c r="J406" s="11" t="n"/>
      <c r="K406" s="9" t="inlineStr">
        <is>
          <t>Europe/Paris</t>
        </is>
      </c>
      <c r="L406" s="9" t="n"/>
      <c r="M406" s="9" t="inlineStr">
        <is>
          <t>États-Unis</t>
        </is>
      </c>
      <c r="N406" s="9" t="inlineStr">
        <is>
          <t>Hommes</t>
        </is>
      </c>
      <c r="O406" s="9" t="inlineStr">
        <is>
          <t>Officiel</t>
        </is>
      </c>
      <c r="P406" s="9" t="inlineStr">
        <is>
          <t>Oui</t>
        </is>
      </c>
      <c r="Q406" s="9" t="inlineStr">
        <is>
          <t>https://operations.nfl.com/updates/the-game/2026-nfl-international-games-schedule-released/</t>
        </is>
      </c>
      <c r="R406" s="10" t="n">
        <v>46311</v>
      </c>
      <c r="S406" s="9" t="inlineStr">
        <is>
          <t>Dim 25/10 : Steelers – Saints à Paris (Stade de France)</t>
        </is>
      </c>
      <c r="T406" s="9">
        <f>IF(H406="","",IF(MAX(H406,I406)&lt;TODAY(),"Terminé",IF(H406&lt;=TODAY(),"En cours","À venir")))</f>
        <v/>
      </c>
    </row>
    <row r="407">
      <c r="A407" s="9" t="inlineStr">
        <is>
          <t>NFL-2627-008</t>
        </is>
      </c>
      <c r="B407" s="9" t="inlineStr">
        <is>
          <t>Football américain</t>
        </is>
      </c>
      <c r="C407" s="9" t="inlineStr">
        <is>
          <t>NFL</t>
        </is>
      </c>
      <c r="D407" s="9" t="inlineStr">
        <is>
          <t>2026-2027</t>
        </is>
      </c>
      <c r="E407" s="9" t="inlineStr">
        <is>
          <t>Saison régulière</t>
        </is>
      </c>
      <c r="F407" s="9" t="n">
        <v>8</v>
      </c>
      <c r="G407" s="9" t="inlineStr">
        <is>
          <t>NFL – Semaine 8</t>
        </is>
      </c>
      <c r="H407" s="10" t="n">
        <v>46324</v>
      </c>
      <c r="I407" s="10" t="n">
        <v>46328</v>
      </c>
      <c r="J407" s="11" t="n"/>
      <c r="K407" s="9" t="inlineStr">
        <is>
          <t>Europe/Paris</t>
        </is>
      </c>
      <c r="L407" s="9" t="n"/>
      <c r="M407" s="9" t="inlineStr">
        <is>
          <t>États-Unis</t>
        </is>
      </c>
      <c r="N407" s="9" t="inlineStr">
        <is>
          <t>Hommes</t>
        </is>
      </c>
      <c r="O407" s="9" t="inlineStr">
        <is>
          <t>Officiel</t>
        </is>
      </c>
      <c r="P407" s="9" t="inlineStr">
        <is>
          <t>Oui</t>
        </is>
      </c>
      <c r="Q407" s="9" t="inlineStr">
        <is>
          <t>https://fbschedules.com/2026-nfl-thursday-night-football-schedule/</t>
        </is>
      </c>
      <c r="R407" s="10" t="n">
        <v>46311</v>
      </c>
      <c r="S407" s="9" t="n"/>
      <c r="T407" s="9">
        <f>IF(H407="","",IF(MAX(H407,I407)&lt;TODAY(),"Terminé",IF(H407&lt;=TODAY(),"En cours","À venir")))</f>
        <v/>
      </c>
    </row>
    <row r="408">
      <c r="A408" s="9" t="inlineStr">
        <is>
          <t>NFL-2627-009</t>
        </is>
      </c>
      <c r="B408" s="9" t="inlineStr">
        <is>
          <t>Football américain</t>
        </is>
      </c>
      <c r="C408" s="9" t="inlineStr">
        <is>
          <t>NFL</t>
        </is>
      </c>
      <c r="D408" s="9" t="inlineStr">
        <is>
          <t>2026-2027</t>
        </is>
      </c>
      <c r="E408" s="9" t="inlineStr">
        <is>
          <t>Saison régulière</t>
        </is>
      </c>
      <c r="F408" s="9" t="n">
        <v>9</v>
      </c>
      <c r="G408" s="9" t="inlineStr">
        <is>
          <t>NFL – Semaine 9</t>
        </is>
      </c>
      <c r="H408" s="10" t="n">
        <v>46331</v>
      </c>
      <c r="I408" s="10" t="n">
        <v>46335</v>
      </c>
      <c r="J408" s="11" t="n"/>
      <c r="K408" s="9" t="inlineStr">
        <is>
          <t>Europe/Paris</t>
        </is>
      </c>
      <c r="L408" s="9" t="n"/>
      <c r="M408" s="9" t="inlineStr">
        <is>
          <t>États-Unis</t>
        </is>
      </c>
      <c r="N408" s="9" t="inlineStr">
        <is>
          <t>Hommes</t>
        </is>
      </c>
      <c r="O408" s="9" t="inlineStr">
        <is>
          <t>Officiel</t>
        </is>
      </c>
      <c r="P408" s="9" t="inlineStr">
        <is>
          <t>Oui</t>
        </is>
      </c>
      <c r="Q408" s="9" t="inlineStr">
        <is>
          <t>https://operations.nfl.com/updates/the-game/2026-nfl-international-games-schedule-released/</t>
        </is>
      </c>
      <c r="R408" s="10" t="n">
        <v>46311</v>
      </c>
      <c r="S408" s="9" t="inlineStr">
        <is>
          <t>Dim 08/11 : Bengals – Falcons à Madrid (Bernabéu)</t>
        </is>
      </c>
      <c r="T408" s="9">
        <f>IF(H408="","",IF(MAX(H408,I408)&lt;TODAY(),"Terminé",IF(H408&lt;=TODAY(),"En cours","À venir")))</f>
        <v/>
      </c>
    </row>
    <row r="409">
      <c r="A409" s="9" t="inlineStr">
        <is>
          <t>NFL-2627-010</t>
        </is>
      </c>
      <c r="B409" s="9" t="inlineStr">
        <is>
          <t>Football américain</t>
        </is>
      </c>
      <c r="C409" s="9" t="inlineStr">
        <is>
          <t>NFL</t>
        </is>
      </c>
      <c r="D409" s="9" t="inlineStr">
        <is>
          <t>2026-2027</t>
        </is>
      </c>
      <c r="E409" s="9" t="inlineStr">
        <is>
          <t>Saison régulière</t>
        </is>
      </c>
      <c r="F409" s="9" t="n">
        <v>10</v>
      </c>
      <c r="G409" s="9" t="inlineStr">
        <is>
          <t>NFL – Semaine 10</t>
        </is>
      </c>
      <c r="H409" s="10" t="n">
        <v>46338</v>
      </c>
      <c r="I409" s="10" t="n">
        <v>46342</v>
      </c>
      <c r="J409" s="11" t="n"/>
      <c r="K409" s="9" t="inlineStr">
        <is>
          <t>Europe/Paris</t>
        </is>
      </c>
      <c r="L409" s="9" t="n"/>
      <c r="M409" s="9" t="inlineStr">
        <is>
          <t>États-Unis</t>
        </is>
      </c>
      <c r="N409" s="9" t="inlineStr">
        <is>
          <t>Hommes</t>
        </is>
      </c>
      <c r="O409" s="9" t="inlineStr">
        <is>
          <t>Officiel</t>
        </is>
      </c>
      <c r="P409" s="9" t="inlineStr">
        <is>
          <t>Oui</t>
        </is>
      </c>
      <c r="Q409" s="9" t="inlineStr">
        <is>
          <t>https://operations.nfl.com/updates/the-game/2026-nfl-international-games-schedule-released/</t>
        </is>
      </c>
      <c r="R409" s="10" t="n">
        <v>46311</v>
      </c>
      <c r="S409" s="9" t="inlineStr">
        <is>
          <t>Dim 15/11 : Patriots – Lions à Munich (Allianz Arena)</t>
        </is>
      </c>
      <c r="T409" s="9">
        <f>IF(H409="","",IF(MAX(H409,I409)&lt;TODAY(),"Terminé",IF(H409&lt;=TODAY(),"En cours","À venir")))</f>
        <v/>
      </c>
    </row>
    <row r="410">
      <c r="A410" s="9" t="inlineStr">
        <is>
          <t>NFL-2627-011</t>
        </is>
      </c>
      <c r="B410" s="9" t="inlineStr">
        <is>
          <t>Football américain</t>
        </is>
      </c>
      <c r="C410" s="9" t="inlineStr">
        <is>
          <t>NFL</t>
        </is>
      </c>
      <c r="D410" s="9" t="inlineStr">
        <is>
          <t>2026-2027</t>
        </is>
      </c>
      <c r="E410" s="9" t="inlineStr">
        <is>
          <t>Saison régulière</t>
        </is>
      </c>
      <c r="F410" s="9" t="n">
        <v>11</v>
      </c>
      <c r="G410" s="9" t="inlineStr">
        <is>
          <t>NFL – Semaine 11</t>
        </is>
      </c>
      <c r="H410" s="10" t="n">
        <v>46345</v>
      </c>
      <c r="I410" s="10" t="n">
        <v>46349</v>
      </c>
      <c r="J410" s="11" t="n"/>
      <c r="K410" s="9" t="inlineStr">
        <is>
          <t>Europe/Paris</t>
        </is>
      </c>
      <c r="L410" s="9" t="n"/>
      <c r="M410" s="9" t="inlineStr">
        <is>
          <t>États-Unis</t>
        </is>
      </c>
      <c r="N410" s="9" t="inlineStr">
        <is>
          <t>Hommes</t>
        </is>
      </c>
      <c r="O410" s="9" t="inlineStr">
        <is>
          <t>Officiel</t>
        </is>
      </c>
      <c r="P410" s="9" t="inlineStr">
        <is>
          <t>Oui</t>
        </is>
      </c>
      <c r="Q410" s="9" t="inlineStr">
        <is>
          <t>https://operations.nfl.com/updates/the-game/2026-nfl-international-games-schedule-released/</t>
        </is>
      </c>
      <c r="R410" s="10" t="n">
        <v>46311</v>
      </c>
      <c r="S410" s="9" t="inlineStr">
        <is>
          <t>Dim 22/11 : Vikings – 49ers à Mexico (Estadio Banorte)</t>
        </is>
      </c>
      <c r="T410" s="9">
        <f>IF(H410="","",IF(MAX(H410,I410)&lt;TODAY(),"Terminé",IF(H410&lt;=TODAY(),"En cours","À venir")))</f>
        <v/>
      </c>
    </row>
    <row r="411">
      <c r="A411" s="9" t="inlineStr">
        <is>
          <t>NFL-2627-012</t>
        </is>
      </c>
      <c r="B411" s="9" t="inlineStr">
        <is>
          <t>Football américain</t>
        </is>
      </c>
      <c r="C411" s="9" t="inlineStr">
        <is>
          <t>NFL</t>
        </is>
      </c>
      <c r="D411" s="9" t="inlineStr">
        <is>
          <t>2026-2027</t>
        </is>
      </c>
      <c r="E411" s="9" t="inlineStr">
        <is>
          <t>Saison régulière</t>
        </is>
      </c>
      <c r="F411" s="9" t="n">
        <v>12</v>
      </c>
      <c r="G411" s="9" t="inlineStr">
        <is>
          <t>NFL – Semaine 12</t>
        </is>
      </c>
      <c r="H411" s="10" t="n">
        <v>46352</v>
      </c>
      <c r="I411" s="10" t="n">
        <v>46356</v>
      </c>
      <c r="J411" s="11" t="n"/>
      <c r="K411" s="9" t="inlineStr">
        <is>
          <t>Europe/Paris</t>
        </is>
      </c>
      <c r="L411" s="9" t="n"/>
      <c r="M411" s="9" t="inlineStr">
        <is>
          <t>États-Unis</t>
        </is>
      </c>
      <c r="N411" s="9" t="inlineStr">
        <is>
          <t>Hommes</t>
        </is>
      </c>
      <c r="O411" s="9" t="inlineStr">
        <is>
          <t>Officiel</t>
        </is>
      </c>
      <c r="P411" s="9" t="inlineStr">
        <is>
          <t>Oui</t>
        </is>
      </c>
      <c r="Q411" s="9" t="inlineStr">
        <is>
          <t>https://fbschedules.com/2026-nfl-thursday-night-football-schedule/</t>
        </is>
      </c>
      <c r="R411" s="10" t="n">
        <v>46311</v>
      </c>
      <c r="S411" s="9" t="inlineStr">
        <is>
          <t>Thanksgiving jeu 26/11 + Black Friday 27/11</t>
        </is>
      </c>
      <c r="T411" s="9">
        <f>IF(H411="","",IF(MAX(H411,I411)&lt;TODAY(),"Terminé",IF(H411&lt;=TODAY(),"En cours","À venir")))</f>
        <v/>
      </c>
    </row>
    <row r="412">
      <c r="A412" s="9" t="inlineStr">
        <is>
          <t>NFL-2627-013</t>
        </is>
      </c>
      <c r="B412" s="9" t="inlineStr">
        <is>
          <t>Football américain</t>
        </is>
      </c>
      <c r="C412" s="9" t="inlineStr">
        <is>
          <t>NFL</t>
        </is>
      </c>
      <c r="D412" s="9" t="inlineStr">
        <is>
          <t>2026-2027</t>
        </is>
      </c>
      <c r="E412" s="9" t="inlineStr">
        <is>
          <t>Saison régulière</t>
        </is>
      </c>
      <c r="F412" s="9" t="n">
        <v>13</v>
      </c>
      <c r="G412" s="9" t="inlineStr">
        <is>
          <t>NFL – Semaine 13</t>
        </is>
      </c>
      <c r="H412" s="10" t="n">
        <v>46359</v>
      </c>
      <c r="I412" s="10" t="n">
        <v>46363</v>
      </c>
      <c r="J412" s="11" t="n"/>
      <c r="K412" s="9" t="inlineStr">
        <is>
          <t>Europe/Paris</t>
        </is>
      </c>
      <c r="L412" s="9" t="n"/>
      <c r="M412" s="9" t="inlineStr">
        <is>
          <t>États-Unis</t>
        </is>
      </c>
      <c r="N412" s="9" t="inlineStr">
        <is>
          <t>Hommes</t>
        </is>
      </c>
      <c r="O412" s="9" t="inlineStr">
        <is>
          <t>Officiel</t>
        </is>
      </c>
      <c r="P412" s="9" t="inlineStr">
        <is>
          <t>Oui</t>
        </is>
      </c>
      <c r="Q412" s="9" t="inlineStr">
        <is>
          <t>https://fbschedules.com/2026-nfl-thursday-night-football-schedule/</t>
        </is>
      </c>
      <c r="R412" s="10" t="n">
        <v>46311</v>
      </c>
      <c r="S412" s="9" t="n"/>
      <c r="T412" s="9">
        <f>IF(H412="","",IF(MAX(H412,I412)&lt;TODAY(),"Terminé",IF(H412&lt;=TODAY(),"En cours","À venir")))</f>
        <v/>
      </c>
    </row>
    <row r="413">
      <c r="A413" s="9" t="inlineStr">
        <is>
          <t>NFL-2627-014</t>
        </is>
      </c>
      <c r="B413" s="9" t="inlineStr">
        <is>
          <t>Football américain</t>
        </is>
      </c>
      <c r="C413" s="9" t="inlineStr">
        <is>
          <t>NFL</t>
        </is>
      </c>
      <c r="D413" s="9" t="inlineStr">
        <is>
          <t>2026-2027</t>
        </is>
      </c>
      <c r="E413" s="9" t="inlineStr">
        <is>
          <t>Saison régulière</t>
        </is>
      </c>
      <c r="F413" s="9" t="n">
        <v>14</v>
      </c>
      <c r="G413" s="9" t="inlineStr">
        <is>
          <t>NFL – Semaine 14</t>
        </is>
      </c>
      <c r="H413" s="10" t="n">
        <v>46366</v>
      </c>
      <c r="I413" s="10" t="n">
        <v>46370</v>
      </c>
      <c r="J413" s="11" t="n"/>
      <c r="K413" s="9" t="inlineStr">
        <is>
          <t>Europe/Paris</t>
        </is>
      </c>
      <c r="L413" s="9" t="n"/>
      <c r="M413" s="9" t="inlineStr">
        <is>
          <t>États-Unis</t>
        </is>
      </c>
      <c r="N413" s="9" t="inlineStr">
        <is>
          <t>Hommes</t>
        </is>
      </c>
      <c r="O413" s="9" t="inlineStr">
        <is>
          <t>Officiel</t>
        </is>
      </c>
      <c r="P413" s="9" t="inlineStr">
        <is>
          <t>Oui</t>
        </is>
      </c>
      <c r="Q413" s="9" t="inlineStr">
        <is>
          <t>https://fbschedules.com/2026-nfl-thursday-night-football-schedule/</t>
        </is>
      </c>
      <c r="R413" s="10" t="n">
        <v>46311</v>
      </c>
      <c r="S413" s="9" t="n"/>
      <c r="T413" s="9">
        <f>IF(H413="","",IF(MAX(H413,I413)&lt;TODAY(),"Terminé",IF(H413&lt;=TODAY(),"En cours","À venir")))</f>
        <v/>
      </c>
    </row>
    <row r="414">
      <c r="A414" s="9" t="inlineStr">
        <is>
          <t>NFL-2627-015</t>
        </is>
      </c>
      <c r="B414" s="9" t="inlineStr">
        <is>
          <t>Football américain</t>
        </is>
      </c>
      <c r="C414" s="9" t="inlineStr">
        <is>
          <t>NFL</t>
        </is>
      </c>
      <c r="D414" s="9" t="inlineStr">
        <is>
          <t>2026-2027</t>
        </is>
      </c>
      <c r="E414" s="9" t="inlineStr">
        <is>
          <t>Saison régulière</t>
        </is>
      </c>
      <c r="F414" s="9" t="n">
        <v>15</v>
      </c>
      <c r="G414" s="9" t="inlineStr">
        <is>
          <t>NFL – Semaine 15</t>
        </is>
      </c>
      <c r="H414" s="10" t="n">
        <v>46373</v>
      </c>
      <c r="I414" s="10" t="n">
        <v>46377</v>
      </c>
      <c r="J414" s="11" t="n"/>
      <c r="K414" s="9" t="inlineStr">
        <is>
          <t>Europe/Paris</t>
        </is>
      </c>
      <c r="L414" s="9" t="n"/>
      <c r="M414" s="9" t="inlineStr">
        <is>
          <t>États-Unis</t>
        </is>
      </c>
      <c r="N414" s="9" t="inlineStr">
        <is>
          <t>Hommes</t>
        </is>
      </c>
      <c r="O414" s="9" t="inlineStr">
        <is>
          <t>Officiel</t>
        </is>
      </c>
      <c r="P414" s="9" t="inlineStr">
        <is>
          <t>Oui</t>
        </is>
      </c>
      <c r="Q414" s="9" t="inlineStr">
        <is>
          <t>https://fbschedules.com/2026-nfl-thursday-night-football-schedule/</t>
        </is>
      </c>
      <c r="R414" s="10" t="n">
        <v>46311</v>
      </c>
      <c r="S414" s="9" t="n"/>
      <c r="T414" s="9">
        <f>IF(H414="","",IF(MAX(H414,I414)&lt;TODAY(),"Terminé",IF(H414&lt;=TODAY(),"En cours","À venir")))</f>
        <v/>
      </c>
    </row>
    <row r="415">
      <c r="A415" s="9" t="inlineStr">
        <is>
          <t>NFL-2627-016</t>
        </is>
      </c>
      <c r="B415" s="9" t="inlineStr">
        <is>
          <t>Football américain</t>
        </is>
      </c>
      <c r="C415" s="9" t="inlineStr">
        <is>
          <t>NFL</t>
        </is>
      </c>
      <c r="D415" s="9" t="inlineStr">
        <is>
          <t>2026-2027</t>
        </is>
      </c>
      <c r="E415" s="9" t="inlineStr">
        <is>
          <t>Saison régulière</t>
        </is>
      </c>
      <c r="F415" s="9" t="n">
        <v>16</v>
      </c>
      <c r="G415" s="9" t="inlineStr">
        <is>
          <t>NFL – Semaine 16</t>
        </is>
      </c>
      <c r="H415" s="10" t="n">
        <v>46380</v>
      </c>
      <c r="I415" s="10" t="n">
        <v>46384</v>
      </c>
      <c r="J415" s="11" t="n"/>
      <c r="K415" s="9" t="inlineStr">
        <is>
          <t>Europe/Paris</t>
        </is>
      </c>
      <c r="L415" s="9" t="n"/>
      <c r="M415" s="9" t="inlineStr">
        <is>
          <t>États-Unis</t>
        </is>
      </c>
      <c r="N415" s="9" t="inlineStr">
        <is>
          <t>Hommes</t>
        </is>
      </c>
      <c r="O415" s="9" t="inlineStr">
        <is>
          <t>Officiel</t>
        </is>
      </c>
      <c r="P415" s="9" t="inlineStr">
        <is>
          <t>Oui</t>
        </is>
      </c>
      <c r="Q415" s="9" t="inlineStr">
        <is>
          <t>https://fbschedules.com/2026-nfl-thursday-night-football-schedule/</t>
        </is>
      </c>
      <c r="R415" s="10" t="n">
        <v>46311</v>
      </c>
      <c r="S415" s="9" t="inlineStr">
        <is>
          <t>Jeu 24/12 (veille de Noël)</t>
        </is>
      </c>
      <c r="T415" s="9">
        <f>IF(H415="","",IF(MAX(H415,I415)&lt;TODAY(),"Terminé",IF(H415&lt;=TODAY(),"En cours","À venir")))</f>
        <v/>
      </c>
    </row>
    <row r="416">
      <c r="A416" s="9" t="inlineStr">
        <is>
          <t>NFL-2627-017</t>
        </is>
      </c>
      <c r="B416" s="9" t="inlineStr">
        <is>
          <t>Football américain</t>
        </is>
      </c>
      <c r="C416" s="9" t="inlineStr">
        <is>
          <t>NFL</t>
        </is>
      </c>
      <c r="D416" s="9" t="inlineStr">
        <is>
          <t>2026-2027</t>
        </is>
      </c>
      <c r="E416" s="9" t="inlineStr">
        <is>
          <t>Saison régulière</t>
        </is>
      </c>
      <c r="F416" s="9" t="n">
        <v>17</v>
      </c>
      <c r="G416" s="9" t="inlineStr">
        <is>
          <t>NFL – Semaine 17</t>
        </is>
      </c>
      <c r="H416" s="10" t="n">
        <v>46387</v>
      </c>
      <c r="I416" s="10" t="n">
        <v>46391</v>
      </c>
      <c r="J416" s="11" t="n"/>
      <c r="K416" s="9" t="inlineStr">
        <is>
          <t>Europe/Paris</t>
        </is>
      </c>
      <c r="L416" s="9" t="n"/>
      <c r="M416" s="9" t="inlineStr">
        <is>
          <t>États-Unis</t>
        </is>
      </c>
      <c r="N416" s="9" t="inlineStr">
        <is>
          <t>Hommes</t>
        </is>
      </c>
      <c r="O416" s="9" t="inlineStr">
        <is>
          <t>Officiel</t>
        </is>
      </c>
      <c r="P416" s="9" t="inlineStr">
        <is>
          <t>Oui</t>
        </is>
      </c>
      <c r="Q416" s="9" t="inlineStr">
        <is>
          <t>https://fbschedules.com/2026-nfl-thursday-night-football-schedule/</t>
        </is>
      </c>
      <c r="R416" s="10" t="n">
        <v>46311</v>
      </c>
      <c r="S416" s="9" t="inlineStr">
        <is>
          <t>Jeu 31/12 ; MNF lun 04/01/2027</t>
        </is>
      </c>
      <c r="T416" s="9">
        <f>IF(H416="","",IF(MAX(H416,I416)&lt;TODAY(),"Terminé",IF(H416&lt;=TODAY(),"En cours","À venir")))</f>
        <v/>
      </c>
    </row>
    <row r="417">
      <c r="A417" s="9" t="inlineStr">
        <is>
          <t>NFL-2627-018</t>
        </is>
      </c>
      <c r="B417" s="9" t="inlineStr">
        <is>
          <t>Football américain</t>
        </is>
      </c>
      <c r="C417" s="9" t="inlineStr">
        <is>
          <t>NFL</t>
        </is>
      </c>
      <c r="D417" s="9" t="inlineStr">
        <is>
          <t>2026-2027</t>
        </is>
      </c>
      <c r="E417" s="9" t="inlineStr">
        <is>
          <t>Saison régulière</t>
        </is>
      </c>
      <c r="F417" s="9" t="n">
        <v>18</v>
      </c>
      <c r="G417" s="9" t="inlineStr">
        <is>
          <t>NFL – Semaine 18</t>
        </is>
      </c>
      <c r="H417" s="10" t="n">
        <v>46396</v>
      </c>
      <c r="I417" s="10" t="n">
        <v>46397</v>
      </c>
      <c r="J417" s="11" t="n"/>
      <c r="K417" s="9" t="inlineStr">
        <is>
          <t>Europe/Paris</t>
        </is>
      </c>
      <c r="L417" s="9" t="n"/>
      <c r="M417" s="9" t="inlineStr">
        <is>
          <t>États-Unis</t>
        </is>
      </c>
      <c r="N417" s="9" t="inlineStr">
        <is>
          <t>Hommes</t>
        </is>
      </c>
      <c r="O417" s="9" t="inlineStr">
        <is>
          <t>Provisoire</t>
        </is>
      </c>
      <c r="P417" s="9" t="inlineStr">
        <is>
          <t>Oui</t>
        </is>
      </c>
      <c r="Q417" s="9" t="inlineStr">
        <is>
          <t>https://en.wikipedia.org/wiki/2026_NFL_season</t>
        </is>
      </c>
      <c r="R417" s="10" t="n">
        <v>46311</v>
      </c>
      <c r="S417" s="9" t="inlineStr">
        <is>
          <t>Samedi-dimanche, pas de Monday Night</t>
        </is>
      </c>
      <c r="T417" s="9">
        <f>IF(H417="","",IF(MAX(H417,I417)&lt;TODAY(),"Terminé",IF(H417&lt;=TODAY(),"En cours","À venir")))</f>
        <v/>
      </c>
    </row>
    <row r="418">
      <c r="A418" s="9" t="inlineStr">
        <is>
          <t>NFL-2627-019</t>
        </is>
      </c>
      <c r="B418" s="9" t="inlineStr">
        <is>
          <t>Football américain</t>
        </is>
      </c>
      <c r="C418" s="9" t="inlineStr">
        <is>
          <t>NFL</t>
        </is>
      </c>
      <c r="D418" s="9" t="inlineStr">
        <is>
          <t>2026-2027</t>
        </is>
      </c>
      <c r="E418" s="9" t="inlineStr">
        <is>
          <t>Wild Card</t>
        </is>
      </c>
      <c r="F418" s="9" t="n"/>
      <c r="G418" s="9" t="inlineStr">
        <is>
          <t>NFL – Wild Card</t>
        </is>
      </c>
      <c r="H418" s="10" t="n">
        <v>46403</v>
      </c>
      <c r="I418" s="10" t="n">
        <v>46405</v>
      </c>
      <c r="J418" s="11" t="n"/>
      <c r="K418" s="9" t="inlineStr">
        <is>
          <t>Europe/Paris</t>
        </is>
      </c>
      <c r="L418" s="9" t="n"/>
      <c r="M418" s="9" t="inlineStr">
        <is>
          <t>États-Unis</t>
        </is>
      </c>
      <c r="N418" s="9" t="inlineStr">
        <is>
          <t>Hommes</t>
        </is>
      </c>
      <c r="O418" s="9" t="inlineStr">
        <is>
          <t>Provisoire</t>
        </is>
      </c>
      <c r="P418" s="9" t="inlineStr">
        <is>
          <t>Oui</t>
        </is>
      </c>
      <c r="Q418" s="9" t="inlineStr">
        <is>
          <t>https://en.wikipedia.org/wiki/2026_NFL_season</t>
        </is>
      </c>
      <c r="R418" s="10" t="n">
        <v>46311</v>
      </c>
      <c r="S418" s="9" t="inlineStr">
        <is>
          <t>Dates relevées hors site officiel NFL</t>
        </is>
      </c>
      <c r="T418" s="9">
        <f>IF(H418="","",IF(MAX(H418,I418)&lt;TODAY(),"Terminé",IF(H418&lt;=TODAY(),"En cours","À venir")))</f>
        <v/>
      </c>
    </row>
    <row r="419">
      <c r="A419" s="9" t="inlineStr">
        <is>
          <t>NFL-2627-020</t>
        </is>
      </c>
      <c r="B419" s="9" t="inlineStr">
        <is>
          <t>Football américain</t>
        </is>
      </c>
      <c r="C419" s="9" t="inlineStr">
        <is>
          <t>NFL</t>
        </is>
      </c>
      <c r="D419" s="9" t="inlineStr">
        <is>
          <t>2026-2027</t>
        </is>
      </c>
      <c r="E419" s="9" t="inlineStr">
        <is>
          <t>Play-offs – Divisional</t>
        </is>
      </c>
      <c r="F419" s="9" t="n"/>
      <c r="G419" s="9" t="inlineStr">
        <is>
          <t>NFL – Tour de division</t>
        </is>
      </c>
      <c r="H419" s="10" t="n">
        <v>46410</v>
      </c>
      <c r="I419" s="10" t="n">
        <v>46411</v>
      </c>
      <c r="J419" s="11" t="n"/>
      <c r="K419" s="9" t="inlineStr">
        <is>
          <t>Europe/Paris</t>
        </is>
      </c>
      <c r="L419" s="9" t="n"/>
      <c r="M419" s="9" t="inlineStr">
        <is>
          <t>États-Unis</t>
        </is>
      </c>
      <c r="N419" s="9" t="inlineStr">
        <is>
          <t>Hommes</t>
        </is>
      </c>
      <c r="O419" s="9" t="inlineStr">
        <is>
          <t>Provisoire</t>
        </is>
      </c>
      <c r="P419" s="9" t="inlineStr">
        <is>
          <t>Oui</t>
        </is>
      </c>
      <c r="Q419" s="9" t="inlineStr">
        <is>
          <t>https://en.wikipedia.org/wiki/2026_NFL_season</t>
        </is>
      </c>
      <c r="R419" s="10" t="n">
        <v>46311</v>
      </c>
      <c r="S419" s="9" t="n"/>
      <c r="T419" s="9">
        <f>IF(H419="","",IF(MAX(H419,I419)&lt;TODAY(),"Terminé",IF(H419&lt;=TODAY(),"En cours","À venir")))</f>
        <v/>
      </c>
    </row>
    <row r="420">
      <c r="A420" s="9" t="inlineStr">
        <is>
          <t>NFL-2627-021</t>
        </is>
      </c>
      <c r="B420" s="9" t="inlineStr">
        <is>
          <t>Football américain</t>
        </is>
      </c>
      <c r="C420" s="9" t="inlineStr">
        <is>
          <t>NFL</t>
        </is>
      </c>
      <c r="D420" s="9" t="inlineStr">
        <is>
          <t>2026-2027</t>
        </is>
      </c>
      <c r="E420" s="9" t="inlineStr">
        <is>
          <t>Finales de conférence</t>
        </is>
      </c>
      <c r="F420" s="9" t="n"/>
      <c r="G420" s="9" t="inlineStr">
        <is>
          <t>NFL – Finales de conférence (AFC/NFC)</t>
        </is>
      </c>
      <c r="H420" s="10" t="n">
        <v>46418</v>
      </c>
      <c r="I420" s="10" t="n">
        <v>46418</v>
      </c>
      <c r="J420" s="11" t="n"/>
      <c r="K420" s="9" t="inlineStr">
        <is>
          <t>Europe/Paris</t>
        </is>
      </c>
      <c r="L420" s="9" t="n"/>
      <c r="M420" s="9" t="inlineStr">
        <is>
          <t>États-Unis</t>
        </is>
      </c>
      <c r="N420" s="9" t="inlineStr">
        <is>
          <t>Hommes</t>
        </is>
      </c>
      <c r="O420" s="9" t="inlineStr">
        <is>
          <t>Provisoire</t>
        </is>
      </c>
      <c r="P420" s="9" t="inlineStr">
        <is>
          <t>Oui</t>
        </is>
      </c>
      <c r="Q420" s="9" t="inlineStr">
        <is>
          <t>https://en.wikipedia.org/wiki/2026_NFL_season</t>
        </is>
      </c>
      <c r="R420" s="10" t="n">
        <v>46311</v>
      </c>
      <c r="S420" s="9" t="n"/>
      <c r="T420" s="9">
        <f>IF(H420="","",IF(MAX(H420,I420)&lt;TODAY(),"Terminé",IF(H420&lt;=TODAY(),"En cours","À venir")))</f>
        <v/>
      </c>
    </row>
    <row r="421">
      <c r="A421" s="9" t="inlineStr">
        <is>
          <t>NFL-2627-022</t>
        </is>
      </c>
      <c r="B421" s="9" t="inlineStr">
        <is>
          <t>Football américain</t>
        </is>
      </c>
      <c r="C421" s="9" t="inlineStr">
        <is>
          <t>NFL</t>
        </is>
      </c>
      <c r="D421" s="9" t="inlineStr">
        <is>
          <t>2026-2027</t>
        </is>
      </c>
      <c r="E421" s="9" t="inlineStr">
        <is>
          <t>Super Bowl</t>
        </is>
      </c>
      <c r="F421" s="9" t="n"/>
      <c r="G421" s="9" t="inlineStr">
        <is>
          <t>NFL – Super Bowl LXI</t>
        </is>
      </c>
      <c r="H421" s="10" t="n">
        <v>46432</v>
      </c>
      <c r="I421" s="10" t="n">
        <v>46432</v>
      </c>
      <c r="J421" s="11" t="n"/>
      <c r="K421" s="9" t="inlineStr">
        <is>
          <t>Europe/Paris</t>
        </is>
      </c>
      <c r="L421" s="9" t="inlineStr">
        <is>
          <t>SoFi Stadium, Inglewood (Californie)</t>
        </is>
      </c>
      <c r="M421" s="9" t="inlineStr">
        <is>
          <t>États-Unis</t>
        </is>
      </c>
      <c r="N421" s="9" t="inlineStr">
        <is>
          <t>Hommes</t>
        </is>
      </c>
      <c r="O421" s="9" t="inlineStr">
        <is>
          <t>Officiel</t>
        </is>
      </c>
      <c r="P421" s="9" t="inlineStr">
        <is>
          <t>Oui</t>
        </is>
      </c>
      <c r="Q421" s="9" t="inlineStr">
        <is>
          <t>https://en.wikipedia.org/wiki/Super_Bowl_LXI</t>
        </is>
      </c>
      <c r="R421" s="10" t="n">
        <v>46311</v>
      </c>
      <c r="S421" s="9" t="inlineStr">
        <is>
          <t>Heure de coup d'envoi non officialisée (habituellement ~00h30 Paris le lundi)</t>
        </is>
      </c>
      <c r="T421" s="9">
        <f>IF(H421="","",IF(MAX(H421,I421)&lt;TODAY(),"Terminé",IF(H421&lt;=TODAY(),"En cours","À venir")))</f>
        <v/>
      </c>
    </row>
    <row r="422">
      <c r="A422" s="9" t="inlineStr">
        <is>
          <t>PGA-2026-001</t>
        </is>
      </c>
      <c r="B422" s="9" t="inlineStr">
        <is>
          <t>Golf</t>
        </is>
      </c>
      <c r="C422" s="9" t="inlineStr">
        <is>
          <t>PGA Tour</t>
        </is>
      </c>
      <c r="D422" s="9" t="inlineStr">
        <is>
          <t>2026</t>
        </is>
      </c>
      <c r="E422" s="9" t="inlineStr">
        <is>
          <t>FedEx Fall</t>
        </is>
      </c>
      <c r="F422" s="9" t="n"/>
      <c r="G422" s="9" t="inlineStr">
        <is>
          <t>PGA Tour – Bank of Utah Championship</t>
        </is>
      </c>
      <c r="H422" s="10" t="n">
        <v>46296</v>
      </c>
      <c r="I422" s="10" t="n">
        <v>46299</v>
      </c>
      <c r="J422" s="11" t="n"/>
      <c r="K422" s="9" t="inlineStr">
        <is>
          <t>Europe/Paris</t>
        </is>
      </c>
      <c r="L422" s="9" t="inlineStr">
        <is>
          <t>Black Desert Resort, Ivins (Utah)</t>
        </is>
      </c>
      <c r="M422" s="9" t="inlineStr">
        <is>
          <t>États-Unis</t>
        </is>
      </c>
      <c r="N422" s="9" t="inlineStr">
        <is>
          <t>Hommes</t>
        </is>
      </c>
      <c r="O422" s="9" t="inlineStr">
        <is>
          <t>Officiel</t>
        </is>
      </c>
      <c r="P422" s="9" t="inlineStr">
        <is>
          <t>Oui</t>
        </is>
      </c>
      <c r="Q422" s="9" t="inlineStr">
        <is>
          <t>https://www.espn.com/golf/story/_/id/47561580/pga-tour-26-fedexcup-fall-slate-2-new-events-mexico-swing</t>
        </is>
      </c>
      <c r="R422" s="10" t="n">
        <v>46311</v>
      </c>
      <c r="S422" s="9" t="inlineStr">
        <is>
          <t>Terminé</t>
        </is>
      </c>
      <c r="T422" s="9">
        <f>IF(H422="","",IF(MAX(H422,I422)&lt;TODAY(),"Terminé",IF(H422&lt;=TODAY(),"En cours","À venir")))</f>
        <v/>
      </c>
    </row>
    <row r="423">
      <c r="A423" s="9" t="inlineStr">
        <is>
          <t>PGA-2026-002</t>
        </is>
      </c>
      <c r="B423" s="9" t="inlineStr">
        <is>
          <t>Golf</t>
        </is>
      </c>
      <c r="C423" s="9" t="inlineStr">
        <is>
          <t>PGA Tour</t>
        </is>
      </c>
      <c r="D423" s="9" t="inlineStr">
        <is>
          <t>2026</t>
        </is>
      </c>
      <c r="E423" s="9" t="inlineStr">
        <is>
          <t>FedEx Fall</t>
        </is>
      </c>
      <c r="F423" s="9" t="n"/>
      <c r="G423" s="9" t="inlineStr">
        <is>
          <t>PGA Tour – Baycurrent Classic</t>
        </is>
      </c>
      <c r="H423" s="10" t="n">
        <v>46303</v>
      </c>
      <c r="I423" s="10" t="n">
        <v>46306</v>
      </c>
      <c r="J423" s="11" t="n"/>
      <c r="K423" s="9" t="inlineStr">
        <is>
          <t>Europe/Paris</t>
        </is>
      </c>
      <c r="L423" s="9" t="inlineStr">
        <is>
          <t>Yokohama Country Club, Yokohama</t>
        </is>
      </c>
      <c r="M423" s="9" t="inlineStr">
        <is>
          <t>Japon</t>
        </is>
      </c>
      <c r="N423" s="9" t="inlineStr">
        <is>
          <t>Hommes</t>
        </is>
      </c>
      <c r="O423" s="9" t="inlineStr">
        <is>
          <t>Officiel</t>
        </is>
      </c>
      <c r="P423" s="9" t="inlineStr">
        <is>
          <t>Oui</t>
        </is>
      </c>
      <c r="Q423" s="9" t="inlineStr">
        <is>
          <t>https://www.espn.com/golf/story/_/id/47561580/pga-tour-26-fedexcup-fall-slate-2-new-events-mexico-swing</t>
        </is>
      </c>
      <c r="R423" s="10" t="n">
        <v>46311</v>
      </c>
      <c r="S423" s="9" t="inlineStr">
        <is>
          <t>Terminé</t>
        </is>
      </c>
      <c r="T423" s="9">
        <f>IF(H423="","",IF(MAX(H423,I423)&lt;TODAY(),"Terminé",IF(H423&lt;=TODAY(),"En cours","À venir")))</f>
        <v/>
      </c>
    </row>
    <row r="424">
      <c r="A424" s="9" t="inlineStr">
        <is>
          <t>PGA-2026-003</t>
        </is>
      </c>
      <c r="B424" s="9" t="inlineStr">
        <is>
          <t>Golf</t>
        </is>
      </c>
      <c r="C424" s="9" t="inlineStr">
        <is>
          <t>PGA Tour</t>
        </is>
      </c>
      <c r="D424" s="9" t="inlineStr">
        <is>
          <t>2026</t>
        </is>
      </c>
      <c r="E424" s="9" t="inlineStr">
        <is>
          <t>FedEx Fall</t>
        </is>
      </c>
      <c r="F424" s="9" t="n"/>
      <c r="G424" s="9" t="inlineStr">
        <is>
          <t>PGA Tour – Butterfield Bermuda Championship</t>
        </is>
      </c>
      <c r="H424" s="10" t="n">
        <v>46317</v>
      </c>
      <c r="I424" s="10" t="n">
        <v>46320</v>
      </c>
      <c r="J424" s="11" t="n"/>
      <c r="K424" s="9" t="inlineStr">
        <is>
          <t>Europe/Paris</t>
        </is>
      </c>
      <c r="L424" s="9" t="inlineStr">
        <is>
          <t>Port Royal Golf Course, Southampton</t>
        </is>
      </c>
      <c r="M424" s="9" t="inlineStr">
        <is>
          <t>Bermudes</t>
        </is>
      </c>
      <c r="N424" s="9" t="inlineStr">
        <is>
          <t>Hommes</t>
        </is>
      </c>
      <c r="O424" s="9" t="inlineStr">
        <is>
          <t>Officiel</t>
        </is>
      </c>
      <c r="P424" s="9" t="inlineStr">
        <is>
          <t>Oui</t>
        </is>
      </c>
      <c r="Q424" s="9" t="inlineStr">
        <is>
          <t>https://www.espn.com/golf/story/_/id/47561580/pga-tour-26-fedexcup-fall-slate-2-new-events-mexico-swing</t>
        </is>
      </c>
      <c r="R424" s="10" t="n">
        <v>46311</v>
      </c>
      <c r="S424" s="9" t="n"/>
      <c r="T424" s="9">
        <f>IF(H424="","",IF(MAX(H424,I424)&lt;TODAY(),"Terminé",IF(H424&lt;=TODAY(),"En cours","À venir")))</f>
        <v/>
      </c>
    </row>
    <row r="425">
      <c r="A425" s="9" t="inlineStr">
        <is>
          <t>PGA-2026-004</t>
        </is>
      </c>
      <c r="B425" s="9" t="inlineStr">
        <is>
          <t>Golf</t>
        </is>
      </c>
      <c r="C425" s="9" t="inlineStr">
        <is>
          <t>PGA Tour</t>
        </is>
      </c>
      <c r="D425" s="9" t="inlineStr">
        <is>
          <t>2026</t>
        </is>
      </c>
      <c r="E425" s="9" t="inlineStr">
        <is>
          <t>FedEx Fall</t>
        </is>
      </c>
      <c r="F425" s="9" t="n"/>
      <c r="G425" s="9" t="inlineStr">
        <is>
          <t>PGA Tour – VidantaWorld Mexico Open</t>
        </is>
      </c>
      <c r="H425" s="10" t="n">
        <v>46324</v>
      </c>
      <c r="I425" s="10" t="n">
        <v>46327</v>
      </c>
      <c r="J425" s="11" t="n"/>
      <c r="K425" s="9" t="inlineStr">
        <is>
          <t>Europe/Paris</t>
        </is>
      </c>
      <c r="L425" s="9" t="inlineStr">
        <is>
          <t>Vidanta Vallarta, Puerto Vallarta</t>
        </is>
      </c>
      <c r="M425" s="9" t="inlineStr">
        <is>
          <t>Mexique</t>
        </is>
      </c>
      <c r="N425" s="9" t="inlineStr">
        <is>
          <t>Hommes</t>
        </is>
      </c>
      <c r="O425" s="9" t="inlineStr">
        <is>
          <t>Officiel</t>
        </is>
      </c>
      <c r="P425" s="9" t="inlineStr">
        <is>
          <t>Oui</t>
        </is>
      </c>
      <c r="Q425" s="9" t="inlineStr">
        <is>
          <t>https://www.espn.com/golf/story/_/id/47561580/pga-tour-26-fedexcup-fall-slate-2-new-events-mexico-swing</t>
        </is>
      </c>
      <c r="R425" s="10" t="n">
        <v>46311</v>
      </c>
      <c r="S425" s="9" t="n"/>
      <c r="T425" s="9">
        <f>IF(H425="","",IF(MAX(H425,I425)&lt;TODAY(),"Terminé",IF(H425&lt;=TODAY(),"En cours","À venir")))</f>
        <v/>
      </c>
    </row>
    <row r="426">
      <c r="A426" s="9" t="inlineStr">
        <is>
          <t>PGA-2026-005</t>
        </is>
      </c>
      <c r="B426" s="9" t="inlineStr">
        <is>
          <t>Golf</t>
        </is>
      </c>
      <c r="C426" s="9" t="inlineStr">
        <is>
          <t>PGA Tour</t>
        </is>
      </c>
      <c r="D426" s="9" t="inlineStr">
        <is>
          <t>2026</t>
        </is>
      </c>
      <c r="E426" s="9" t="inlineStr">
        <is>
          <t>FedEx Fall</t>
        </is>
      </c>
      <c r="F426" s="9" t="n"/>
      <c r="G426" s="9" t="inlineStr">
        <is>
          <t>PGA Tour – World Wide Technology Championship</t>
        </is>
      </c>
      <c r="H426" s="10" t="n">
        <v>46331</v>
      </c>
      <c r="I426" s="10" t="n">
        <v>46334</v>
      </c>
      <c r="J426" s="11" t="n"/>
      <c r="K426" s="9" t="inlineStr">
        <is>
          <t>Europe/Paris</t>
        </is>
      </c>
      <c r="L426" s="9" t="inlineStr">
        <is>
          <t>El Cardonal at Diamante, Los Cabos</t>
        </is>
      </c>
      <c r="M426" s="9" t="inlineStr">
        <is>
          <t>Mexique</t>
        </is>
      </c>
      <c r="N426" s="9" t="inlineStr">
        <is>
          <t>Hommes</t>
        </is>
      </c>
      <c r="O426" s="9" t="inlineStr">
        <is>
          <t>Officiel</t>
        </is>
      </c>
      <c r="P426" s="9" t="inlineStr">
        <is>
          <t>Oui</t>
        </is>
      </c>
      <c r="Q426" s="9" t="inlineStr">
        <is>
          <t>https://www.espn.com/golf/story/_/id/47561580/pga-tour-26-fedexcup-fall-slate-2-new-events-mexico-swing</t>
        </is>
      </c>
      <c r="R426" s="10" t="n">
        <v>46311</v>
      </c>
      <c r="S426" s="9" t="n"/>
      <c r="T426" s="9">
        <f>IF(H426="","",IF(MAX(H426,I426)&lt;TODAY(),"Terminé",IF(H426&lt;=TODAY(),"En cours","À venir")))</f>
        <v/>
      </c>
    </row>
    <row r="427">
      <c r="A427" s="9" t="inlineStr">
        <is>
          <t>PGA-2026-006</t>
        </is>
      </c>
      <c r="B427" s="9" t="inlineStr">
        <is>
          <t>Golf</t>
        </is>
      </c>
      <c r="C427" s="9" t="inlineStr">
        <is>
          <t>PGA Tour</t>
        </is>
      </c>
      <c r="D427" s="9" t="inlineStr">
        <is>
          <t>2026</t>
        </is>
      </c>
      <c r="E427" s="9" t="inlineStr">
        <is>
          <t>FedEx Fall</t>
        </is>
      </c>
      <c r="F427" s="9" t="n"/>
      <c r="G427" s="9" t="inlineStr">
        <is>
          <t>PGA Tour – Good Good Championship</t>
        </is>
      </c>
      <c r="H427" s="10" t="n">
        <v>46338</v>
      </c>
      <c r="I427" s="10" t="n">
        <v>46341</v>
      </c>
      <c r="J427" s="11" t="n"/>
      <c r="K427" s="9" t="inlineStr">
        <is>
          <t>Europe/Paris</t>
        </is>
      </c>
      <c r="L427" s="9" t="inlineStr">
        <is>
          <t>Omni Barton Creek Resort &amp; Spa, Austin (Texas)</t>
        </is>
      </c>
      <c r="M427" s="9" t="inlineStr">
        <is>
          <t>États-Unis</t>
        </is>
      </c>
      <c r="N427" s="9" t="inlineStr">
        <is>
          <t>Hommes</t>
        </is>
      </c>
      <c r="O427" s="9" t="inlineStr">
        <is>
          <t>Officiel</t>
        </is>
      </c>
      <c r="P427" s="9" t="inlineStr">
        <is>
          <t>Oui</t>
        </is>
      </c>
      <c r="Q427" s="9" t="inlineStr">
        <is>
          <t>https://www.espn.com/golf/story/_/id/47561580/pga-tour-26-fedexcup-fall-slate-2-new-events-mexico-swing</t>
        </is>
      </c>
      <c r="R427" s="10" t="n">
        <v>46311</v>
      </c>
      <c r="S427" s="9" t="inlineStr">
        <is>
          <t>Nouveau tournoi</t>
        </is>
      </c>
      <c r="T427" s="9">
        <f>IF(H427="","",IF(MAX(H427,I427)&lt;TODAY(),"Terminé",IF(H427&lt;=TODAY(),"En cours","À venir")))</f>
        <v/>
      </c>
    </row>
    <row r="428">
      <c r="A428" s="9" t="inlineStr">
        <is>
          <t>PGA-2026-007</t>
        </is>
      </c>
      <c r="B428" s="9" t="inlineStr">
        <is>
          <t>Golf</t>
        </is>
      </c>
      <c r="C428" s="9" t="inlineStr">
        <is>
          <t>PGA Tour</t>
        </is>
      </c>
      <c r="D428" s="9" t="inlineStr">
        <is>
          <t>2026</t>
        </is>
      </c>
      <c r="E428" s="9" t="inlineStr">
        <is>
          <t>FedEx Fall</t>
        </is>
      </c>
      <c r="F428" s="9" t="n"/>
      <c r="G428" s="9" t="inlineStr">
        <is>
          <t>PGA Tour – The RSM Classic</t>
        </is>
      </c>
      <c r="H428" s="10" t="n">
        <v>46345</v>
      </c>
      <c r="I428" s="10" t="n">
        <v>46348</v>
      </c>
      <c r="J428" s="11" t="n"/>
      <c r="K428" s="9" t="inlineStr">
        <is>
          <t>Europe/Paris</t>
        </is>
      </c>
      <c r="L428" s="9" t="inlineStr">
        <is>
          <t>Sea Island Golf Club, St. Simons Island (Géorgie)</t>
        </is>
      </c>
      <c r="M428" s="9" t="inlineStr">
        <is>
          <t>États-Unis</t>
        </is>
      </c>
      <c r="N428" s="9" t="inlineStr">
        <is>
          <t>Hommes</t>
        </is>
      </c>
      <c r="O428" s="9" t="inlineStr">
        <is>
          <t>Officiel</t>
        </is>
      </c>
      <c r="P428" s="9" t="inlineStr">
        <is>
          <t>Oui</t>
        </is>
      </c>
      <c r="Q428" s="9" t="inlineStr">
        <is>
          <t>https://www.espn.com/golf/story/_/id/47561580/pga-tour-26-fedexcup-fall-slate-2-new-events-mexico-swing</t>
        </is>
      </c>
      <c r="R428" s="10" t="n">
        <v>46311</v>
      </c>
      <c r="S428" s="9" t="inlineStr">
        <is>
          <t>Dernier tournoi FedEx Fall</t>
        </is>
      </c>
      <c r="T428" s="9">
        <f>IF(H428="","",IF(MAX(H428,I428)&lt;TODAY(),"Terminé",IF(H428&lt;=TODAY(),"En cours","À venir")))</f>
        <v/>
      </c>
    </row>
    <row r="429">
      <c r="A429" s="9" t="inlineStr">
        <is>
          <t>PGA-2027-001</t>
        </is>
      </c>
      <c r="B429" s="9" t="inlineStr">
        <is>
          <t>Golf</t>
        </is>
      </c>
      <c r="C429" s="9" t="inlineStr">
        <is>
          <t>PGA Tour</t>
        </is>
      </c>
      <c r="D429" s="9" t="inlineStr">
        <is>
          <t>2027</t>
        </is>
      </c>
      <c r="E429" s="9" t="inlineStr">
        <is>
          <t>Tournoi</t>
        </is>
      </c>
      <c r="F429" s="9" t="n"/>
      <c r="G429" s="9" t="inlineStr">
        <is>
          <t>PGA Tour – The American Express</t>
        </is>
      </c>
      <c r="H429" s="10" t="n">
        <v>46408</v>
      </c>
      <c r="I429" s="10" t="n">
        <v>46411</v>
      </c>
      <c r="J429" s="11" t="n"/>
      <c r="K429" s="9" t="inlineStr">
        <is>
          <t>Europe/Paris</t>
        </is>
      </c>
      <c r="L429" s="9" t="inlineStr">
        <is>
          <t>PGA West, La Quinta (Californie)</t>
        </is>
      </c>
      <c r="M429" s="9" t="inlineStr">
        <is>
          <t>États-Unis</t>
        </is>
      </c>
      <c r="N429" s="9" t="inlineStr">
        <is>
          <t>Hommes</t>
        </is>
      </c>
      <c r="O429" s="9" t="inlineStr">
        <is>
          <t>Officiel</t>
        </is>
      </c>
      <c r="P429" s="9" t="inlineStr">
        <is>
          <t>Oui</t>
        </is>
      </c>
      <c r="Q429" s="9" t="inlineStr">
        <is>
          <t>https://www.golfchannel.com/pga-tour/news/pga-tour-2027-schedule-36-events-two-at-pebble-more-signature-spacing</t>
        </is>
      </c>
      <c r="R429" s="10" t="n">
        <v>46311</v>
      </c>
      <c r="S429" s="9" t="inlineStr">
        <is>
          <t>Tournoi d'ouverture 2027</t>
        </is>
      </c>
      <c r="T429" s="9">
        <f>IF(H429="","",IF(MAX(H429,I429)&lt;TODAY(),"Terminé",IF(H429&lt;=TODAY(),"En cours","À venir")))</f>
        <v/>
      </c>
    </row>
    <row r="430">
      <c r="A430" s="9" t="inlineStr">
        <is>
          <t>PGA-2027-002</t>
        </is>
      </c>
      <c r="B430" s="9" t="inlineStr">
        <is>
          <t>Golf</t>
        </is>
      </c>
      <c r="C430" s="9" t="inlineStr">
        <is>
          <t>PGA Tour</t>
        </is>
      </c>
      <c r="D430" s="9" t="inlineStr">
        <is>
          <t>2027</t>
        </is>
      </c>
      <c r="E430" s="9" t="inlineStr">
        <is>
          <t>Tournoi</t>
        </is>
      </c>
      <c r="F430" s="9" t="n"/>
      <c r="G430" s="9" t="inlineStr">
        <is>
          <t>PGA Tour – The Sentry</t>
        </is>
      </c>
      <c r="H430" s="10" t="n">
        <v>46414</v>
      </c>
      <c r="I430" s="10" t="n">
        <v>46417</v>
      </c>
      <c r="J430" s="11" t="n"/>
      <c r="K430" s="9" t="inlineStr">
        <is>
          <t>Europe/Paris</t>
        </is>
      </c>
      <c r="L430" s="9" t="inlineStr">
        <is>
          <t>Torrey Pines, San Diego (Californie)</t>
        </is>
      </c>
      <c r="M430" s="9" t="inlineStr">
        <is>
          <t>États-Unis</t>
        </is>
      </c>
      <c r="N430" s="9" t="inlineStr">
        <is>
          <t>Hommes</t>
        </is>
      </c>
      <c r="O430" s="9" t="inlineStr">
        <is>
          <t>Provisoire</t>
        </is>
      </c>
      <c r="P430" s="9" t="inlineStr">
        <is>
          <t>Oui</t>
        </is>
      </c>
      <c r="Q430" s="9" t="inlineStr">
        <is>
          <t>https://www.espn.com/golf/schedule/_/season/2027</t>
        </is>
      </c>
      <c r="R430" s="10" t="n">
        <v>46311</v>
      </c>
      <c r="S430" s="9" t="inlineStr">
        <is>
          <t>Fin le samedi ; certaines sources citent le Farmers Insurance Open à cette date</t>
        </is>
      </c>
      <c r="T430" s="9">
        <f>IF(H430="","",IF(MAX(H430,I430)&lt;TODAY(),"Terminé",IF(H430&lt;=TODAY(),"En cours","À venir")))</f>
        <v/>
      </c>
    </row>
    <row r="431">
      <c r="A431" s="9" t="inlineStr">
        <is>
          <t>PGA-2027-003</t>
        </is>
      </c>
      <c r="B431" s="9" t="inlineStr">
        <is>
          <t>Golf</t>
        </is>
      </c>
      <c r="C431" s="9" t="inlineStr">
        <is>
          <t>PGA Tour</t>
        </is>
      </c>
      <c r="D431" s="9" t="inlineStr">
        <is>
          <t>2027</t>
        </is>
      </c>
      <c r="E431" s="9" t="inlineStr">
        <is>
          <t>Signature Event</t>
        </is>
      </c>
      <c r="F431" s="9" t="n"/>
      <c r="G431" s="9" t="inlineStr">
        <is>
          <t>PGA Tour – AT&amp;T Pebble Beach Pro-Am</t>
        </is>
      </c>
      <c r="H431" s="10" t="n">
        <v>46422</v>
      </c>
      <c r="I431" s="10" t="n">
        <v>46425</v>
      </c>
      <c r="J431" s="11" t="n"/>
      <c r="K431" s="9" t="inlineStr">
        <is>
          <t>Europe/Paris</t>
        </is>
      </c>
      <c r="L431" s="9" t="inlineStr">
        <is>
          <t>Pebble Beach Golf Links, Pebble Beach (Californie)</t>
        </is>
      </c>
      <c r="M431" s="9" t="inlineStr">
        <is>
          <t>États-Unis</t>
        </is>
      </c>
      <c r="N431" s="9" t="inlineStr">
        <is>
          <t>Hommes</t>
        </is>
      </c>
      <c r="O431" s="9" t="inlineStr">
        <is>
          <t>Officiel</t>
        </is>
      </c>
      <c r="P431" s="9" t="inlineStr">
        <is>
          <t>Oui</t>
        </is>
      </c>
      <c r="Q431" s="9" t="inlineStr">
        <is>
          <t>https://www.golfchannel.com/pga-tour/news/pga-tour-2027-schedule-36-events-two-at-pebble-more-signature-spacing</t>
        </is>
      </c>
      <c r="R431" s="10" t="n">
        <v>46311</v>
      </c>
      <c r="S431" s="9" t="n"/>
      <c r="T431" s="9">
        <f>IF(H431="","",IF(MAX(H431,I431)&lt;TODAY(),"Terminé",IF(H431&lt;=TODAY(),"En cours","À venir")))</f>
        <v/>
      </c>
    </row>
    <row r="432">
      <c r="A432" s="9" t="inlineStr">
        <is>
          <t>PGA-2027-004</t>
        </is>
      </c>
      <c r="B432" s="9" t="inlineStr">
        <is>
          <t>Golf</t>
        </is>
      </c>
      <c r="C432" s="9" t="inlineStr">
        <is>
          <t>PGA Tour</t>
        </is>
      </c>
      <c r="D432" s="9" t="inlineStr">
        <is>
          <t>2027</t>
        </is>
      </c>
      <c r="E432" s="9" t="inlineStr">
        <is>
          <t>Tournoi</t>
        </is>
      </c>
      <c r="F432" s="9" t="n"/>
      <c r="G432" s="9" t="inlineStr">
        <is>
          <t>PGA Tour – WM Phoenix Open</t>
        </is>
      </c>
      <c r="H432" s="10" t="n">
        <v>46429</v>
      </c>
      <c r="I432" s="10" t="n">
        <v>46432</v>
      </c>
      <c r="J432" s="11" t="n"/>
      <c r="K432" s="9" t="inlineStr">
        <is>
          <t>Europe/Paris</t>
        </is>
      </c>
      <c r="L432" s="9" t="inlineStr">
        <is>
          <t>TPC Scottsdale, Scottsdale (Arizona)</t>
        </is>
      </c>
      <c r="M432" s="9" t="inlineStr">
        <is>
          <t>États-Unis</t>
        </is>
      </c>
      <c r="N432" s="9" t="inlineStr">
        <is>
          <t>Hommes</t>
        </is>
      </c>
      <c r="O432" s="9" t="inlineStr">
        <is>
          <t>Officiel</t>
        </is>
      </c>
      <c r="P432" s="9" t="inlineStr">
        <is>
          <t>Oui</t>
        </is>
      </c>
      <c r="Q432" s="9" t="inlineStr">
        <is>
          <t>https://www.golfchannel.com/pga-tour/news/pga-tour-2027-schedule-36-events-two-at-pebble-more-signature-spacing</t>
        </is>
      </c>
      <c r="R432" s="10" t="n">
        <v>46311</v>
      </c>
      <c r="S432" s="9" t="n"/>
      <c r="T432" s="9">
        <f>IF(H432="","",IF(MAX(H432,I432)&lt;TODAY(),"Terminé",IF(H432&lt;=TODAY(),"En cours","À venir")))</f>
        <v/>
      </c>
    </row>
    <row r="433">
      <c r="A433" s="9" t="inlineStr">
        <is>
          <t>PGA-2027-005</t>
        </is>
      </c>
      <c r="B433" s="9" t="inlineStr">
        <is>
          <t>Golf</t>
        </is>
      </c>
      <c r="C433" s="9" t="inlineStr">
        <is>
          <t>PGA Tour</t>
        </is>
      </c>
      <c r="D433" s="9" t="inlineStr">
        <is>
          <t>2027</t>
        </is>
      </c>
      <c r="E433" s="9" t="inlineStr">
        <is>
          <t>Signature Event</t>
        </is>
      </c>
      <c r="F433" s="9" t="n"/>
      <c r="G433" s="9" t="inlineStr">
        <is>
          <t>PGA Tour – The Genesis Invitational</t>
        </is>
      </c>
      <c r="H433" s="10" t="n">
        <v>46436</v>
      </c>
      <c r="I433" s="10" t="n">
        <v>46439</v>
      </c>
      <c r="J433" s="11" t="n"/>
      <c r="K433" s="9" t="inlineStr">
        <is>
          <t>Europe/Paris</t>
        </is>
      </c>
      <c r="L433" s="9" t="inlineStr">
        <is>
          <t>Riviera Country Club, Pacific Palisades (Californie)</t>
        </is>
      </c>
      <c r="M433" s="9" t="inlineStr">
        <is>
          <t>États-Unis</t>
        </is>
      </c>
      <c r="N433" s="9" t="inlineStr">
        <is>
          <t>Hommes</t>
        </is>
      </c>
      <c r="O433" s="9" t="inlineStr">
        <is>
          <t>Officiel</t>
        </is>
      </c>
      <c r="P433" s="9" t="inlineStr">
        <is>
          <t>Oui</t>
        </is>
      </c>
      <c r="Q433" s="9" t="inlineStr">
        <is>
          <t>https://www.golfchannel.com/pga-tour/news/pga-tour-2027-schedule-36-events-two-at-pebble-more-signature-spacing</t>
        </is>
      </c>
      <c r="R433" s="10" t="n">
        <v>46311</v>
      </c>
      <c r="S433" s="9" t="inlineStr">
        <is>
          <t>Tournoi opposé à cette semaine non attribué (Puerto Rico Open pressenti)</t>
        </is>
      </c>
      <c r="T433" s="9">
        <f>IF(H433="","",IF(MAX(H433,I433)&lt;TODAY(),"Terminé",IF(H433&lt;=TODAY(),"En cours","À venir")))</f>
        <v/>
      </c>
    </row>
    <row r="434">
      <c r="A434" s="9" t="inlineStr">
        <is>
          <t>PGA-2027-006</t>
        </is>
      </c>
      <c r="B434" s="9" t="inlineStr">
        <is>
          <t>Golf</t>
        </is>
      </c>
      <c r="C434" s="9" t="inlineStr">
        <is>
          <t>PGA Tour</t>
        </is>
      </c>
      <c r="D434" s="9" t="inlineStr">
        <is>
          <t>2027</t>
        </is>
      </c>
      <c r="E434" s="9" t="inlineStr">
        <is>
          <t>Tournoi</t>
        </is>
      </c>
      <c r="F434" s="9" t="n"/>
      <c r="G434" s="9" t="inlineStr">
        <is>
          <t>PGA Tour – Cognizant Classic</t>
        </is>
      </c>
      <c r="H434" s="10" t="n">
        <v>46443</v>
      </c>
      <c r="I434" s="10" t="n">
        <v>46446</v>
      </c>
      <c r="J434" s="11" t="n"/>
      <c r="K434" s="9" t="inlineStr">
        <is>
          <t>Europe/Paris</t>
        </is>
      </c>
      <c r="L434" s="9" t="inlineStr">
        <is>
          <t>PGA National, Palm Beach Gardens (Floride)</t>
        </is>
      </c>
      <c r="M434" s="9" t="inlineStr">
        <is>
          <t>États-Unis</t>
        </is>
      </c>
      <c r="N434" s="9" t="inlineStr">
        <is>
          <t>Hommes</t>
        </is>
      </c>
      <c r="O434" s="9" t="inlineStr">
        <is>
          <t>Officiel</t>
        </is>
      </c>
      <c r="P434" s="9" t="inlineStr">
        <is>
          <t>Oui</t>
        </is>
      </c>
      <c r="Q434" s="9" t="inlineStr">
        <is>
          <t>https://www.golfchannel.com/pga-tour/news/pga-tour-2027-schedule-36-events-two-at-pebble-more-signature-spacing</t>
        </is>
      </c>
      <c r="R434" s="10" t="n">
        <v>46311</v>
      </c>
      <c r="S434" s="9" t="n"/>
      <c r="T434" s="9">
        <f>IF(H434="","",IF(MAX(H434,I434)&lt;TODAY(),"Terminé",IF(H434&lt;=TODAY(),"En cours","À venir")))</f>
        <v/>
      </c>
    </row>
    <row r="435">
      <c r="A435" s="9" t="inlineStr">
        <is>
          <t>PGA-2027-007</t>
        </is>
      </c>
      <c r="B435" s="9" t="inlineStr">
        <is>
          <t>Golf</t>
        </is>
      </c>
      <c r="C435" s="9" t="inlineStr">
        <is>
          <t>PGA Tour</t>
        </is>
      </c>
      <c r="D435" s="9" t="inlineStr">
        <is>
          <t>2027</t>
        </is>
      </c>
      <c r="E435" s="9" t="inlineStr">
        <is>
          <t>Signature Event</t>
        </is>
      </c>
      <c r="F435" s="9" t="n"/>
      <c r="G435" s="9" t="inlineStr">
        <is>
          <t>PGA Tour – Cadillac Championship</t>
        </is>
      </c>
      <c r="H435" s="10" t="n">
        <v>46450</v>
      </c>
      <c r="I435" s="10" t="n">
        <v>46453</v>
      </c>
      <c r="J435" s="11" t="n"/>
      <c r="K435" s="9" t="inlineStr">
        <is>
          <t>Europe/Paris</t>
        </is>
      </c>
      <c r="L435" s="9" t="inlineStr">
        <is>
          <t>Trump National Doral, Miami (Floride)</t>
        </is>
      </c>
      <c r="M435" s="9" t="inlineStr">
        <is>
          <t>États-Unis</t>
        </is>
      </c>
      <c r="N435" s="9" t="inlineStr">
        <is>
          <t>Hommes</t>
        </is>
      </c>
      <c r="O435" s="9" t="inlineStr">
        <is>
          <t>Officiel</t>
        </is>
      </c>
      <c r="P435" s="9" t="inlineStr">
        <is>
          <t>Oui</t>
        </is>
      </c>
      <c r="Q435" s="9" t="inlineStr">
        <is>
          <t>https://www.skysports.com/golf/news/13577335/pga-tour-2027-schedule-new-event-big-changes-and-different-opening-tournament-part-of-revamped-fedexcup-calendar</t>
        </is>
      </c>
      <c r="R435" s="10" t="n">
        <v>46311</v>
      </c>
      <c r="S435" s="9" t="n"/>
      <c r="T435" s="9">
        <f>IF(H435="","",IF(MAX(H435,I435)&lt;TODAY(),"Terminé",IF(H435&lt;=TODAY(),"En cours","À venir")))</f>
        <v/>
      </c>
    </row>
    <row r="436">
      <c r="A436" s="9" t="inlineStr">
        <is>
          <t>PGA-2027-008</t>
        </is>
      </c>
      <c r="B436" s="9" t="inlineStr">
        <is>
          <t>Golf</t>
        </is>
      </c>
      <c r="C436" s="9" t="inlineStr">
        <is>
          <t>PGA Tour</t>
        </is>
      </c>
      <c r="D436" s="9" t="inlineStr">
        <is>
          <t>2027</t>
        </is>
      </c>
      <c r="E436" s="9" t="inlineStr">
        <is>
          <t>Tournoi</t>
        </is>
      </c>
      <c r="F436" s="9" t="n"/>
      <c r="G436" s="9" t="inlineStr">
        <is>
          <t>PGA Tour – The Players Championship</t>
        </is>
      </c>
      <c r="H436" s="10" t="n">
        <v>46457</v>
      </c>
      <c r="I436" s="10" t="n">
        <v>46460</v>
      </c>
      <c r="J436" s="11" t="n"/>
      <c r="K436" s="9" t="inlineStr">
        <is>
          <t>Europe/Paris</t>
        </is>
      </c>
      <c r="L436" s="9" t="inlineStr">
        <is>
          <t>TPC Sawgrass, Ponte Vedra Beach (Floride)</t>
        </is>
      </c>
      <c r="M436" s="9" t="inlineStr">
        <is>
          <t>États-Unis</t>
        </is>
      </c>
      <c r="N436" s="9" t="inlineStr">
        <is>
          <t>Hommes</t>
        </is>
      </c>
      <c r="O436" s="9" t="inlineStr">
        <is>
          <t>Officiel</t>
        </is>
      </c>
      <c r="P436" s="9" t="inlineStr">
        <is>
          <t>Oui</t>
        </is>
      </c>
      <c r="Q436" s="9" t="inlineStr">
        <is>
          <t>https://www.skysports.com/golf/news/13577335/pga-tour-2027-schedule-new-event-big-changes-and-different-opening-tournament-part-of-revamped-fedexcup-calendar</t>
        </is>
      </c>
      <c r="R436" s="10" t="n">
        <v>46311</v>
      </c>
      <c r="S436" s="9" t="n"/>
      <c r="T436" s="9">
        <f>IF(H436="","",IF(MAX(H436,I436)&lt;TODAY(),"Terminé",IF(H436&lt;=TODAY(),"En cours","À venir")))</f>
        <v/>
      </c>
    </row>
    <row r="437">
      <c r="A437" s="9" t="inlineStr">
        <is>
          <t>PGA-2027-009</t>
        </is>
      </c>
      <c r="B437" s="9" t="inlineStr">
        <is>
          <t>Golf</t>
        </is>
      </c>
      <c r="C437" s="9" t="inlineStr">
        <is>
          <t>PGA Tour</t>
        </is>
      </c>
      <c r="D437" s="9" t="inlineStr">
        <is>
          <t>2027</t>
        </is>
      </c>
      <c r="E437" s="9" t="inlineStr">
        <is>
          <t>Signature Event</t>
        </is>
      </c>
      <c r="F437" s="9" t="n"/>
      <c r="G437" s="9" t="inlineStr">
        <is>
          <t>PGA Tour – Arnold Palmer Invitational</t>
        </is>
      </c>
      <c r="H437" s="10" t="n">
        <v>46464</v>
      </c>
      <c r="I437" s="10" t="n">
        <v>46467</v>
      </c>
      <c r="J437" s="11" t="n"/>
      <c r="K437" s="9" t="inlineStr">
        <is>
          <t>Europe/Paris</t>
        </is>
      </c>
      <c r="L437" s="9" t="inlineStr">
        <is>
          <t>Bay Hill Club &amp; Lodge, Orlando (Floride)</t>
        </is>
      </c>
      <c r="M437" s="9" t="inlineStr">
        <is>
          <t>États-Unis</t>
        </is>
      </c>
      <c r="N437" s="9" t="inlineStr">
        <is>
          <t>Hommes</t>
        </is>
      </c>
      <c r="O437" s="9" t="inlineStr">
        <is>
          <t>Officiel</t>
        </is>
      </c>
      <c r="P437" s="9" t="inlineStr">
        <is>
          <t>Oui</t>
        </is>
      </c>
      <c r="Q437" s="9" t="inlineStr">
        <is>
          <t>https://www.skysports.com/golf/news/13577335/pga-tour-2027-schedule-new-event-big-changes-and-different-opening-tournament-part-of-revamped-fedexcup-calendar</t>
        </is>
      </c>
      <c r="R437" s="10" t="n">
        <v>46311</v>
      </c>
      <c r="S437" s="9" t="n"/>
      <c r="T437" s="9">
        <f>IF(H437="","",IF(MAX(H437,I437)&lt;TODAY(),"Terminé",IF(H437&lt;=TODAY(),"En cours","À venir")))</f>
        <v/>
      </c>
    </row>
    <row r="438">
      <c r="A438" s="9" t="inlineStr">
        <is>
          <t>PGA-2027-010</t>
        </is>
      </c>
      <c r="B438" s="9" t="inlineStr">
        <is>
          <t>Golf</t>
        </is>
      </c>
      <c r="C438" s="9" t="inlineStr">
        <is>
          <t>PGA Tour</t>
        </is>
      </c>
      <c r="D438" s="9" t="inlineStr">
        <is>
          <t>2027</t>
        </is>
      </c>
      <c r="E438" s="9" t="inlineStr">
        <is>
          <t>Tournoi</t>
        </is>
      </c>
      <c r="F438" s="9" t="n"/>
      <c r="G438" s="9" t="inlineStr">
        <is>
          <t>PGA Tour – Texas Children's Houston Open</t>
        </is>
      </c>
      <c r="H438" s="10" t="n">
        <v>46471</v>
      </c>
      <c r="I438" s="10" t="n">
        <v>46474</v>
      </c>
      <c r="J438" s="11" t="n"/>
      <c r="K438" s="9" t="inlineStr">
        <is>
          <t>Europe/Paris</t>
        </is>
      </c>
      <c r="L438" s="9" t="inlineStr">
        <is>
          <t>Memorial Park Golf Course, Houston (Texas)</t>
        </is>
      </c>
      <c r="M438" s="9" t="inlineStr">
        <is>
          <t>États-Unis</t>
        </is>
      </c>
      <c r="N438" s="9" t="inlineStr">
        <is>
          <t>Hommes</t>
        </is>
      </c>
      <c r="O438" s="9" t="inlineStr">
        <is>
          <t>Officiel</t>
        </is>
      </c>
      <c r="P438" s="9" t="inlineStr">
        <is>
          <t>Oui</t>
        </is>
      </c>
      <c r="Q438" s="9" t="inlineStr">
        <is>
          <t>https://www.skysports.com/golf/news/13577335/pga-tour-2027-schedule-new-event-big-changes-and-different-opening-tournament-part-of-revamped-fedexcup-calendar</t>
        </is>
      </c>
      <c r="R438" s="10" t="n">
        <v>46311</v>
      </c>
      <c r="S438" s="9" t="n"/>
      <c r="T438" s="9">
        <f>IF(H438="","",IF(MAX(H438,I438)&lt;TODAY(),"Terminé",IF(H438&lt;=TODAY(),"En cours","À venir")))</f>
        <v/>
      </c>
    </row>
    <row r="439">
      <c r="A439" s="9" t="inlineStr">
        <is>
          <t>PGA-2027-011</t>
        </is>
      </c>
      <c r="B439" s="9" t="inlineStr">
        <is>
          <t>Golf</t>
        </is>
      </c>
      <c r="C439" s="9" t="inlineStr">
        <is>
          <t>PGA Tour</t>
        </is>
      </c>
      <c r="D439" s="9" t="inlineStr">
        <is>
          <t>2027</t>
        </is>
      </c>
      <c r="E439" s="9" t="inlineStr">
        <is>
          <t>Tournoi</t>
        </is>
      </c>
      <c r="F439" s="9" t="n"/>
      <c r="G439" s="9" t="inlineStr">
        <is>
          <t>PGA Tour – Valero Texas Open</t>
        </is>
      </c>
      <c r="H439" s="10" t="n">
        <v>46478</v>
      </c>
      <c r="I439" s="10" t="n">
        <v>46481</v>
      </c>
      <c r="J439" s="11" t="n"/>
      <c r="K439" s="9" t="inlineStr">
        <is>
          <t>Europe/Paris</t>
        </is>
      </c>
      <c r="L439" s="9" t="inlineStr">
        <is>
          <t>TPC San Antonio, San Antonio (Texas)</t>
        </is>
      </c>
      <c r="M439" s="9" t="inlineStr">
        <is>
          <t>États-Unis</t>
        </is>
      </c>
      <c r="N439" s="9" t="inlineStr">
        <is>
          <t>Hommes</t>
        </is>
      </c>
      <c r="O439" s="9" t="inlineStr">
        <is>
          <t>Officiel</t>
        </is>
      </c>
      <c r="P439" s="9" t="inlineStr">
        <is>
          <t>Oui</t>
        </is>
      </c>
      <c r="Q439" s="9" t="inlineStr">
        <is>
          <t>https://www.skysports.com/golf/news/13577335/pga-tour-2027-schedule-new-event-big-changes-and-different-opening-tournament-part-of-revamped-fedexcup-calendar</t>
        </is>
      </c>
      <c r="R439" s="10" t="n">
        <v>46311</v>
      </c>
      <c r="S439" s="9" t="n"/>
      <c r="T439" s="9">
        <f>IF(H439="","",IF(MAX(H439,I439)&lt;TODAY(),"Terminé",IF(H439&lt;=TODAY(),"En cours","À venir")))</f>
        <v/>
      </c>
    </row>
    <row r="440">
      <c r="A440" s="9" t="inlineStr">
        <is>
          <t>PGA-2027-012</t>
        </is>
      </c>
      <c r="B440" s="9" t="inlineStr">
        <is>
          <t>Golf</t>
        </is>
      </c>
      <c r="C440" s="9" t="inlineStr">
        <is>
          <t>PGA Tour</t>
        </is>
      </c>
      <c r="D440" s="9" t="inlineStr">
        <is>
          <t>2027</t>
        </is>
      </c>
      <c r="E440" s="9" t="inlineStr">
        <is>
          <t>Majeur</t>
        </is>
      </c>
      <c r="F440" s="9" t="n"/>
      <c r="G440" s="9" t="inlineStr">
        <is>
          <t>PGA Tour – The Masters</t>
        </is>
      </c>
      <c r="H440" s="10" t="n">
        <v>46485</v>
      </c>
      <c r="I440" s="10" t="n">
        <v>46488</v>
      </c>
      <c r="J440" s="11" t="n"/>
      <c r="K440" s="9" t="inlineStr">
        <is>
          <t>Europe/Paris</t>
        </is>
      </c>
      <c r="L440" s="9" t="inlineStr">
        <is>
          <t>Augusta National Golf Club, Augusta (Géorgie)</t>
        </is>
      </c>
      <c r="M440" s="9" t="inlineStr">
        <is>
          <t>États-Unis</t>
        </is>
      </c>
      <c r="N440" s="9" t="inlineStr">
        <is>
          <t>Hommes</t>
        </is>
      </c>
      <c r="O440" s="9" t="inlineStr">
        <is>
          <t>Officiel</t>
        </is>
      </c>
      <c r="P440" s="9" t="inlineStr">
        <is>
          <t>Oui</t>
        </is>
      </c>
      <c r="Q440" s="9" t="inlineStr">
        <is>
          <t>https://www.skysports.com/golf/news/13577335/pga-tour-2027-schedule-new-event-big-changes-and-different-opening-tournament-part-of-revamped-fedexcup-calendar</t>
        </is>
      </c>
      <c r="R440" s="10" t="n">
        <v>46311</v>
      </c>
      <c r="S440" s="9" t="inlineStr">
        <is>
          <t>1er majeur</t>
        </is>
      </c>
      <c r="T440" s="9">
        <f>IF(H440="","",IF(MAX(H440,I440)&lt;TODAY(),"Terminé",IF(H440&lt;=TODAY(),"En cours","À venir")))</f>
        <v/>
      </c>
    </row>
    <row r="441">
      <c r="A441" s="9" t="inlineStr">
        <is>
          <t>PGA-2027-013</t>
        </is>
      </c>
      <c r="B441" s="9" t="inlineStr">
        <is>
          <t>Golf</t>
        </is>
      </c>
      <c r="C441" s="9" t="inlineStr">
        <is>
          <t>PGA Tour</t>
        </is>
      </c>
      <c r="D441" s="9" t="inlineStr">
        <is>
          <t>2027</t>
        </is>
      </c>
      <c r="E441" s="9" t="inlineStr">
        <is>
          <t>Signature Event</t>
        </is>
      </c>
      <c r="F441" s="9" t="n"/>
      <c r="G441" s="9" t="inlineStr">
        <is>
          <t>PGA Tour – RBC Heritage</t>
        </is>
      </c>
      <c r="H441" s="10" t="n">
        <v>46492</v>
      </c>
      <c r="I441" s="10" t="n">
        <v>46495</v>
      </c>
      <c r="J441" s="11" t="n"/>
      <c r="K441" s="9" t="inlineStr">
        <is>
          <t>Europe/Paris</t>
        </is>
      </c>
      <c r="L441" s="9" t="inlineStr">
        <is>
          <t>Harbour Town Golf Links, Hilton Head Island (Caroline du Sud)</t>
        </is>
      </c>
      <c r="M441" s="9" t="inlineStr">
        <is>
          <t>États-Unis</t>
        </is>
      </c>
      <c r="N441" s="9" t="inlineStr">
        <is>
          <t>Hommes</t>
        </is>
      </c>
      <c r="O441" s="9" t="inlineStr">
        <is>
          <t>Officiel</t>
        </is>
      </c>
      <c r="P441" s="9" t="inlineStr">
        <is>
          <t>Oui</t>
        </is>
      </c>
      <c r="Q441" s="9" t="inlineStr">
        <is>
          <t>https://www.skysports.com/golf/news/13577335/pga-tour-2027-schedule-new-event-big-changes-and-different-opening-tournament-part-of-revamped-fedexcup-calendar</t>
        </is>
      </c>
      <c r="R441" s="10" t="n">
        <v>46311</v>
      </c>
      <c r="S441" s="9" t="n"/>
      <c r="T441" s="9">
        <f>IF(H441="","",IF(MAX(H441,I441)&lt;TODAY(),"Terminé",IF(H441&lt;=TODAY(),"En cours","À venir")))</f>
        <v/>
      </c>
    </row>
    <row r="442">
      <c r="A442" s="9" t="inlineStr">
        <is>
          <t>PGA-2027-014</t>
        </is>
      </c>
      <c r="B442" s="9" t="inlineStr">
        <is>
          <t>Golf</t>
        </is>
      </c>
      <c r="C442" s="9" t="inlineStr">
        <is>
          <t>PGA Tour</t>
        </is>
      </c>
      <c r="D442" s="9" t="inlineStr">
        <is>
          <t>2027</t>
        </is>
      </c>
      <c r="E442" s="9" t="inlineStr">
        <is>
          <t>Tournoi</t>
        </is>
      </c>
      <c r="F442" s="9" t="n"/>
      <c r="G442" s="9" t="inlineStr">
        <is>
          <t>PGA Tour – Zurich Classic of New Orleans</t>
        </is>
      </c>
      <c r="H442" s="10" t="n">
        <v>46499</v>
      </c>
      <c r="I442" s="10" t="n">
        <v>46502</v>
      </c>
      <c r="J442" s="11" t="n"/>
      <c r="K442" s="9" t="inlineStr">
        <is>
          <t>Europe/Paris</t>
        </is>
      </c>
      <c r="L442" s="9" t="inlineStr">
        <is>
          <t>TPC Louisiana, Avondale (Louisiane)</t>
        </is>
      </c>
      <c r="M442" s="9" t="inlineStr">
        <is>
          <t>États-Unis</t>
        </is>
      </c>
      <c r="N442" s="9" t="inlineStr">
        <is>
          <t>Hommes</t>
        </is>
      </c>
      <c r="O442" s="9" t="inlineStr">
        <is>
          <t>Officiel</t>
        </is>
      </c>
      <c r="P442" s="9" t="inlineStr">
        <is>
          <t>Oui</t>
        </is>
      </c>
      <c r="Q442" s="9" t="inlineStr">
        <is>
          <t>https://www.skysports.com/golf/news/13577335/pga-tour-2027-schedule-new-event-big-changes-and-different-opening-tournament-part-of-revamped-fedexcup-calendar</t>
        </is>
      </c>
      <c r="R442" s="10" t="n">
        <v>46311</v>
      </c>
      <c r="S442" s="9" t="inlineStr">
        <is>
          <t>Par équipes</t>
        </is>
      </c>
      <c r="T442" s="9">
        <f>IF(H442="","",IF(MAX(H442,I442)&lt;TODAY(),"Terminé",IF(H442&lt;=TODAY(),"En cours","À venir")))</f>
        <v/>
      </c>
    </row>
    <row r="443">
      <c r="A443" s="9" t="inlineStr">
        <is>
          <t>PGA-2027-015</t>
        </is>
      </c>
      <c r="B443" s="9" t="inlineStr">
        <is>
          <t>Golf</t>
        </is>
      </c>
      <c r="C443" s="9" t="inlineStr">
        <is>
          <t>PGA Tour</t>
        </is>
      </c>
      <c r="D443" s="9" t="inlineStr">
        <is>
          <t>2027</t>
        </is>
      </c>
      <c r="E443" s="9" t="inlineStr">
        <is>
          <t>Tournoi</t>
        </is>
      </c>
      <c r="F443" s="9" t="n"/>
      <c r="G443" s="9" t="inlineStr">
        <is>
          <t>PGA Tour – THE CJ CUP Byron Nelson</t>
        </is>
      </c>
      <c r="H443" s="10" t="n">
        <v>46506</v>
      </c>
      <c r="I443" s="10" t="n">
        <v>46509</v>
      </c>
      <c r="J443" s="11" t="n"/>
      <c r="K443" s="9" t="inlineStr">
        <is>
          <t>Europe/Paris</t>
        </is>
      </c>
      <c r="L443" s="9" t="inlineStr">
        <is>
          <t>TPC Craig Ranch, McKinney (Texas)</t>
        </is>
      </c>
      <c r="M443" s="9" t="inlineStr">
        <is>
          <t>États-Unis</t>
        </is>
      </c>
      <c r="N443" s="9" t="inlineStr">
        <is>
          <t>Hommes</t>
        </is>
      </c>
      <c r="O443" s="9" t="inlineStr">
        <is>
          <t>Officiel</t>
        </is>
      </c>
      <c r="P443" s="9" t="inlineStr">
        <is>
          <t>Oui</t>
        </is>
      </c>
      <c r="Q443" s="9" t="inlineStr">
        <is>
          <t>https://www.skysports.com/golf/news/13577335/pga-tour-2027-schedule-new-event-big-changes-and-different-opening-tournament-part-of-revamped-fedexcup-calendar</t>
        </is>
      </c>
      <c r="R443" s="10" t="n">
        <v>46311</v>
      </c>
      <c r="S443" s="9" t="n"/>
      <c r="T443" s="9">
        <f>IF(H443="","",IF(MAX(H443,I443)&lt;TODAY(),"Terminé",IF(H443&lt;=TODAY(),"En cours","À venir")))</f>
        <v/>
      </c>
    </row>
    <row r="444">
      <c r="A444" s="9" t="inlineStr">
        <is>
          <t>PGA-2027-016</t>
        </is>
      </c>
      <c r="B444" s="9" t="inlineStr">
        <is>
          <t>Golf</t>
        </is>
      </c>
      <c r="C444" s="9" t="inlineStr">
        <is>
          <t>PGA Tour</t>
        </is>
      </c>
      <c r="D444" s="9" t="inlineStr">
        <is>
          <t>2027</t>
        </is>
      </c>
      <c r="E444" s="9" t="inlineStr">
        <is>
          <t>Tournoi</t>
        </is>
      </c>
      <c r="F444" s="9" t="n"/>
      <c r="G444" s="9" t="inlineStr">
        <is>
          <t>PGA Tour – Valspar Championship</t>
        </is>
      </c>
      <c r="H444" s="10" t="n">
        <v>46513</v>
      </c>
      <c r="I444" s="10" t="n">
        <v>46516</v>
      </c>
      <c r="J444" s="11" t="n"/>
      <c r="K444" s="9" t="inlineStr">
        <is>
          <t>Europe/Paris</t>
        </is>
      </c>
      <c r="L444" s="9" t="inlineStr">
        <is>
          <t>Innisbrook (Copperhead), Palm Harbor (Floride)</t>
        </is>
      </c>
      <c r="M444" s="9" t="inlineStr">
        <is>
          <t>États-Unis</t>
        </is>
      </c>
      <c r="N444" s="9" t="inlineStr">
        <is>
          <t>Hommes</t>
        </is>
      </c>
      <c r="O444" s="9" t="inlineStr">
        <is>
          <t>Officiel</t>
        </is>
      </c>
      <c r="P444" s="9" t="inlineStr">
        <is>
          <t>Oui</t>
        </is>
      </c>
      <c r="Q444" s="9" t="inlineStr">
        <is>
          <t>https://www.skysports.com/golf/news/13577335/pga-tour-2027-schedule-new-event-big-changes-and-different-opening-tournament-part-of-revamped-fedexcup-calendar</t>
        </is>
      </c>
      <c r="R444" s="10" t="n">
        <v>46311</v>
      </c>
      <c r="S444" s="9" t="n"/>
      <c r="T444" s="9">
        <f>IF(H444="","",IF(MAX(H444,I444)&lt;TODAY(),"Terminé",IF(H444&lt;=TODAY(),"En cours","À venir")))</f>
        <v/>
      </c>
    </row>
    <row r="445">
      <c r="A445" s="9" t="inlineStr">
        <is>
          <t>PGA-2027-017</t>
        </is>
      </c>
      <c r="B445" s="9" t="inlineStr">
        <is>
          <t>Golf</t>
        </is>
      </c>
      <c r="C445" s="9" t="inlineStr">
        <is>
          <t>PGA Tour</t>
        </is>
      </c>
      <c r="D445" s="9" t="inlineStr">
        <is>
          <t>2027</t>
        </is>
      </c>
      <c r="E445" s="9" t="inlineStr">
        <is>
          <t>Tournoi</t>
        </is>
      </c>
      <c r="F445" s="9" t="n"/>
      <c r="G445" s="9" t="inlineStr">
        <is>
          <t>PGA Tour – ONEflight Myrtle Beach Classic</t>
        </is>
      </c>
      <c r="H445" s="10" t="n">
        <v>46520</v>
      </c>
      <c r="I445" s="10" t="n">
        <v>46523</v>
      </c>
      <c r="J445" s="11" t="n"/>
      <c r="K445" s="9" t="inlineStr">
        <is>
          <t>Europe/Paris</t>
        </is>
      </c>
      <c r="L445" s="9" t="inlineStr">
        <is>
          <t>Dunes Golf &amp; Beach Club, Myrtle Beach (Caroline du Sud)</t>
        </is>
      </c>
      <c r="M445" s="9" t="inlineStr">
        <is>
          <t>États-Unis</t>
        </is>
      </c>
      <c r="N445" s="9" t="inlineStr">
        <is>
          <t>Hommes</t>
        </is>
      </c>
      <c r="O445" s="9" t="inlineStr">
        <is>
          <t>À confirmer</t>
        </is>
      </c>
      <c r="P445" s="9" t="inlineStr">
        <is>
          <t>Oui</t>
        </is>
      </c>
      <c r="Q445" s="9" t="inlineStr">
        <is>
          <t>https://sports.yahoo.com/articles/pga-tours-schedule-2027-season-151657071.html</t>
        </is>
      </c>
      <c r="R445" s="10" t="n">
        <v>46311</v>
      </c>
      <c r="S445" s="9" t="inlineStr">
        <is>
          <t>Tournoi opposé ; une seule source</t>
        </is>
      </c>
      <c r="T445" s="9">
        <f>IF(H445="","",IF(MAX(H445,I445)&lt;TODAY(),"Terminé",IF(H445&lt;=TODAY(),"En cours","À venir")))</f>
        <v/>
      </c>
    </row>
    <row r="446">
      <c r="A446" s="9" t="inlineStr">
        <is>
          <t>PGA-2027-018</t>
        </is>
      </c>
      <c r="B446" s="9" t="inlineStr">
        <is>
          <t>Golf</t>
        </is>
      </c>
      <c r="C446" s="9" t="inlineStr">
        <is>
          <t>PGA Tour</t>
        </is>
      </c>
      <c r="D446" s="9" t="inlineStr">
        <is>
          <t>2027</t>
        </is>
      </c>
      <c r="E446" s="9" t="inlineStr">
        <is>
          <t>Signature Event</t>
        </is>
      </c>
      <c r="F446" s="9" t="n"/>
      <c r="G446" s="9" t="inlineStr">
        <is>
          <t>PGA Tour – Truist Championship</t>
        </is>
      </c>
      <c r="H446" s="10" t="n">
        <v>46520</v>
      </c>
      <c r="I446" s="10" t="n">
        <v>46523</v>
      </c>
      <c r="J446" s="11" t="n"/>
      <c r="K446" s="9" t="inlineStr">
        <is>
          <t>Europe/Paris</t>
        </is>
      </c>
      <c r="L446" s="9" t="inlineStr">
        <is>
          <t>Quail Hollow Club, Charlotte (Caroline du Nord)</t>
        </is>
      </c>
      <c r="M446" s="9" t="inlineStr">
        <is>
          <t>États-Unis</t>
        </is>
      </c>
      <c r="N446" s="9" t="inlineStr">
        <is>
          <t>Hommes</t>
        </is>
      </c>
      <c r="O446" s="9" t="inlineStr">
        <is>
          <t>À confirmer</t>
        </is>
      </c>
      <c r="P446" s="9" t="inlineStr">
        <is>
          <t>Oui</t>
        </is>
      </c>
      <c r="Q446" s="9" t="inlineStr">
        <is>
          <t>https://sports.yahoo.com/articles/pga-tours-schedule-2027-season-151657071.html</t>
        </is>
      </c>
      <c r="R446" s="10" t="n">
        <v>46311</v>
      </c>
      <c r="S446" s="9" t="inlineStr">
        <is>
          <t>Absent de certaines listes publiées</t>
        </is>
      </c>
      <c r="T446" s="9">
        <f>IF(H446="","",IF(MAX(H446,I446)&lt;TODAY(),"Terminé",IF(H446&lt;=TODAY(),"En cours","À venir")))</f>
        <v/>
      </c>
    </row>
    <row r="447">
      <c r="A447" s="9" t="inlineStr">
        <is>
          <t>PGA-2027-019</t>
        </is>
      </c>
      <c r="B447" s="9" t="inlineStr">
        <is>
          <t>Golf</t>
        </is>
      </c>
      <c r="C447" s="9" t="inlineStr">
        <is>
          <t>PGA Tour</t>
        </is>
      </c>
      <c r="D447" s="9" t="inlineStr">
        <is>
          <t>2027</t>
        </is>
      </c>
      <c r="E447" s="9" t="inlineStr">
        <is>
          <t>Majeur</t>
        </is>
      </c>
      <c r="F447" s="9" t="n"/>
      <c r="G447" s="9" t="inlineStr">
        <is>
          <t>PGA Tour – PGA Championship</t>
        </is>
      </c>
      <c r="H447" s="10" t="n">
        <v>46527</v>
      </c>
      <c r="I447" s="10" t="n">
        <v>46530</v>
      </c>
      <c r="J447" s="11" t="n"/>
      <c r="K447" s="9" t="inlineStr">
        <is>
          <t>Europe/Paris</t>
        </is>
      </c>
      <c r="L447" s="9" t="inlineStr">
        <is>
          <t>Fields Ranch East at PGA Frisco, Frisco (Texas)</t>
        </is>
      </c>
      <c r="M447" s="9" t="inlineStr">
        <is>
          <t>États-Unis</t>
        </is>
      </c>
      <c r="N447" s="9" t="inlineStr">
        <is>
          <t>Hommes</t>
        </is>
      </c>
      <c r="O447" s="9" t="inlineStr">
        <is>
          <t>Officiel</t>
        </is>
      </c>
      <c r="P447" s="9" t="inlineStr">
        <is>
          <t>Oui</t>
        </is>
      </c>
      <c r="Q447" s="9" t="inlineStr">
        <is>
          <t>https://www.skysports.com/golf/news/13577335/pga-tour-2027-schedule-new-event-big-changes-and-different-opening-tournament-part-of-revamped-fedexcup-calendar</t>
        </is>
      </c>
      <c r="R447" s="10" t="n">
        <v>46311</v>
      </c>
      <c r="S447" s="9" t="inlineStr">
        <is>
          <t>2e majeur</t>
        </is>
      </c>
      <c r="T447" s="9">
        <f>IF(H447="","",IF(MAX(H447,I447)&lt;TODAY(),"Terminé",IF(H447&lt;=TODAY(),"En cours","À venir")))</f>
        <v/>
      </c>
    </row>
    <row r="448">
      <c r="A448" s="9" t="inlineStr">
        <is>
          <t>PGA-2027-020</t>
        </is>
      </c>
      <c r="B448" s="9" t="inlineStr">
        <is>
          <t>Golf</t>
        </is>
      </c>
      <c r="C448" s="9" t="inlineStr">
        <is>
          <t>PGA Tour</t>
        </is>
      </c>
      <c r="D448" s="9" t="inlineStr">
        <is>
          <t>2027</t>
        </is>
      </c>
      <c r="E448" s="9" t="inlineStr">
        <is>
          <t>Tournoi</t>
        </is>
      </c>
      <c r="F448" s="9" t="n"/>
      <c r="G448" s="9" t="inlineStr">
        <is>
          <t>PGA Tour – Charles Schwab Challenge</t>
        </is>
      </c>
      <c r="H448" s="10" t="n">
        <v>46534</v>
      </c>
      <c r="I448" s="10" t="n">
        <v>46537</v>
      </c>
      <c r="J448" s="11" t="n"/>
      <c r="K448" s="9" t="inlineStr">
        <is>
          <t>Europe/Paris</t>
        </is>
      </c>
      <c r="L448" s="9" t="inlineStr">
        <is>
          <t>Colonial Country Club, Fort Worth (Texas)</t>
        </is>
      </c>
      <c r="M448" s="9" t="inlineStr">
        <is>
          <t>États-Unis</t>
        </is>
      </c>
      <c r="N448" s="9" t="inlineStr">
        <is>
          <t>Hommes</t>
        </is>
      </c>
      <c r="O448" s="9" t="inlineStr">
        <is>
          <t>Officiel</t>
        </is>
      </c>
      <c r="P448" s="9" t="inlineStr">
        <is>
          <t>Oui</t>
        </is>
      </c>
      <c r="Q448" s="9" t="inlineStr">
        <is>
          <t>https://www.skysports.com/golf/news/13577335/pga-tour-2027-schedule-new-event-big-changes-and-different-opening-tournament-part-of-revamped-fedexcup-calendar</t>
        </is>
      </c>
      <c r="R448" s="10" t="n">
        <v>46311</v>
      </c>
      <c r="S448" s="9" t="n"/>
      <c r="T448" s="9">
        <f>IF(H448="","",IF(MAX(H448,I448)&lt;TODAY(),"Terminé",IF(H448&lt;=TODAY(),"En cours","À venir")))</f>
        <v/>
      </c>
    </row>
    <row r="449">
      <c r="A449" s="9" t="inlineStr">
        <is>
          <t>PGA-2027-021</t>
        </is>
      </c>
      <c r="B449" s="9" t="inlineStr">
        <is>
          <t>Golf</t>
        </is>
      </c>
      <c r="C449" s="9" t="inlineStr">
        <is>
          <t>PGA Tour</t>
        </is>
      </c>
      <c r="D449" s="9" t="inlineStr">
        <is>
          <t>2027</t>
        </is>
      </c>
      <c r="E449" s="9" t="inlineStr">
        <is>
          <t>Signature Event</t>
        </is>
      </c>
      <c r="F449" s="9" t="n"/>
      <c r="G449" s="9" t="inlineStr">
        <is>
          <t>PGA Tour – the Memorial Tournament</t>
        </is>
      </c>
      <c r="H449" s="10" t="n">
        <v>46541</v>
      </c>
      <c r="I449" s="10" t="n">
        <v>46544</v>
      </c>
      <c r="J449" s="11" t="n"/>
      <c r="K449" s="9" t="inlineStr">
        <is>
          <t>Europe/Paris</t>
        </is>
      </c>
      <c r="L449" s="9" t="inlineStr">
        <is>
          <t>Muirfield Village Golf Club, Dublin (Ohio)</t>
        </is>
      </c>
      <c r="M449" s="9" t="inlineStr">
        <is>
          <t>États-Unis</t>
        </is>
      </c>
      <c r="N449" s="9" t="inlineStr">
        <is>
          <t>Hommes</t>
        </is>
      </c>
      <c r="O449" s="9" t="inlineStr">
        <is>
          <t>Officiel</t>
        </is>
      </c>
      <c r="P449" s="9" t="inlineStr">
        <is>
          <t>Oui</t>
        </is>
      </c>
      <c r="Q449" s="9" t="inlineStr">
        <is>
          <t>https://www.skysports.com/golf/news/13577335/pga-tour-2027-schedule-new-event-big-changes-and-different-opening-tournament-part-of-revamped-fedexcup-calendar</t>
        </is>
      </c>
      <c r="R449" s="10" t="n">
        <v>46311</v>
      </c>
      <c r="S449" s="9" t="n"/>
      <c r="T449" s="9">
        <f>IF(H449="","",IF(MAX(H449,I449)&lt;TODAY(),"Terminé",IF(H449&lt;=TODAY(),"En cours","À venir")))</f>
        <v/>
      </c>
    </row>
    <row r="450">
      <c r="A450" s="9" t="inlineStr">
        <is>
          <t>PGA-2027-022</t>
        </is>
      </c>
      <c r="B450" s="9" t="inlineStr">
        <is>
          <t>Golf</t>
        </is>
      </c>
      <c r="C450" s="9" t="inlineStr">
        <is>
          <t>PGA Tour</t>
        </is>
      </c>
      <c r="D450" s="9" t="inlineStr">
        <is>
          <t>2027</t>
        </is>
      </c>
      <c r="E450" s="9" t="inlineStr">
        <is>
          <t>Tournoi</t>
        </is>
      </c>
      <c r="F450" s="9" t="n"/>
      <c r="G450" s="9" t="inlineStr">
        <is>
          <t>PGA Tour – RBC Canadian Open</t>
        </is>
      </c>
      <c r="H450" s="10" t="n">
        <v>46548</v>
      </c>
      <c r="I450" s="10" t="n">
        <v>46551</v>
      </c>
      <c r="J450" s="11" t="n"/>
      <c r="K450" s="9" t="inlineStr">
        <is>
          <t>Europe/Paris</t>
        </is>
      </c>
      <c r="L450" s="9" t="inlineStr">
        <is>
          <t>TPC Toronto, Caledon (Ontario)</t>
        </is>
      </c>
      <c r="M450" s="9" t="inlineStr">
        <is>
          <t>Canada</t>
        </is>
      </c>
      <c r="N450" s="9" t="inlineStr">
        <is>
          <t>Hommes</t>
        </is>
      </c>
      <c r="O450" s="9" t="inlineStr">
        <is>
          <t>Officiel</t>
        </is>
      </c>
      <c r="P450" s="9" t="inlineStr">
        <is>
          <t>Oui</t>
        </is>
      </c>
      <c r="Q450" s="9" t="inlineStr">
        <is>
          <t>https://www.skysports.com/golf/news/13577335/pga-tour-2027-schedule-new-event-big-changes-and-different-opening-tournament-part-of-revamped-fedexcup-calendar</t>
        </is>
      </c>
      <c r="R450" s="10" t="n">
        <v>46311</v>
      </c>
      <c r="S450" s="9" t="n"/>
      <c r="T450" s="9">
        <f>IF(H450="","",IF(MAX(H450,I450)&lt;TODAY(),"Terminé",IF(H450&lt;=TODAY(),"En cours","À venir")))</f>
        <v/>
      </c>
    </row>
    <row r="451">
      <c r="A451" s="9" t="inlineStr">
        <is>
          <t>PGA-2027-023</t>
        </is>
      </c>
      <c r="B451" s="9" t="inlineStr">
        <is>
          <t>Golf</t>
        </is>
      </c>
      <c r="C451" s="9" t="inlineStr">
        <is>
          <t>PGA Tour</t>
        </is>
      </c>
      <c r="D451" s="9" t="inlineStr">
        <is>
          <t>2027</t>
        </is>
      </c>
      <c r="E451" s="9" t="inlineStr">
        <is>
          <t>Majeur</t>
        </is>
      </c>
      <c r="F451" s="9" t="n"/>
      <c r="G451" s="9" t="inlineStr">
        <is>
          <t>PGA Tour – U.S. Open</t>
        </is>
      </c>
      <c r="H451" s="10" t="n">
        <v>46555</v>
      </c>
      <c r="I451" s="10" t="n">
        <v>46558</v>
      </c>
      <c r="J451" s="11" t="n"/>
      <c r="K451" s="9" t="inlineStr">
        <is>
          <t>Europe/Paris</t>
        </is>
      </c>
      <c r="L451" s="9" t="inlineStr">
        <is>
          <t>Pebble Beach Golf Links, Pebble Beach (Californie)</t>
        </is>
      </c>
      <c r="M451" s="9" t="inlineStr">
        <is>
          <t>États-Unis</t>
        </is>
      </c>
      <c r="N451" s="9" t="inlineStr">
        <is>
          <t>Hommes</t>
        </is>
      </c>
      <c r="O451" s="9" t="inlineStr">
        <is>
          <t>Officiel</t>
        </is>
      </c>
      <c r="P451" s="9" t="inlineStr">
        <is>
          <t>Oui</t>
        </is>
      </c>
      <c r="Q451" s="9" t="inlineStr">
        <is>
          <t>https://www.skysports.com/golf/news/13577335/pga-tour-2027-schedule-new-event-big-changes-and-different-opening-tournament-part-of-revamped-fedexcup-calendar</t>
        </is>
      </c>
      <c r="R451" s="10" t="n">
        <v>46311</v>
      </c>
      <c r="S451" s="9" t="inlineStr">
        <is>
          <t>3e majeur</t>
        </is>
      </c>
      <c r="T451" s="9">
        <f>IF(H451="","",IF(MAX(H451,I451)&lt;TODAY(),"Terminé",IF(H451&lt;=TODAY(),"En cours","À venir")))</f>
        <v/>
      </c>
    </row>
    <row r="452">
      <c r="A452" s="9" t="inlineStr">
        <is>
          <t>PGA-2027-024</t>
        </is>
      </c>
      <c r="B452" s="9" t="inlineStr">
        <is>
          <t>Golf</t>
        </is>
      </c>
      <c r="C452" s="9" t="inlineStr">
        <is>
          <t>PGA Tour</t>
        </is>
      </c>
      <c r="D452" s="9" t="inlineStr">
        <is>
          <t>2027</t>
        </is>
      </c>
      <c r="E452" s="9" t="inlineStr">
        <is>
          <t>Signature Event</t>
        </is>
      </c>
      <c r="F452" s="9" t="n"/>
      <c r="G452" s="9" t="inlineStr">
        <is>
          <t>PGA Tour – Travelers Championship</t>
        </is>
      </c>
      <c r="H452" s="10" t="n">
        <v>46562</v>
      </c>
      <c r="I452" s="10" t="n">
        <v>46565</v>
      </c>
      <c r="J452" s="11" t="n"/>
      <c r="K452" s="9" t="inlineStr">
        <is>
          <t>Europe/Paris</t>
        </is>
      </c>
      <c r="L452" s="9" t="inlineStr">
        <is>
          <t>TPC River Highlands, Cromwell (Connecticut)</t>
        </is>
      </c>
      <c r="M452" s="9" t="inlineStr">
        <is>
          <t>États-Unis</t>
        </is>
      </c>
      <c r="N452" s="9" t="inlineStr">
        <is>
          <t>Hommes</t>
        </is>
      </c>
      <c r="O452" s="9" t="inlineStr">
        <is>
          <t>Officiel</t>
        </is>
      </c>
      <c r="P452" s="9" t="inlineStr">
        <is>
          <t>Oui</t>
        </is>
      </c>
      <c r="Q452" s="9" t="inlineStr">
        <is>
          <t>https://www.skysports.com/golf/news/13577335/pga-tour-2027-schedule-new-event-big-changes-and-different-opening-tournament-part-of-revamped-fedexcup-calendar</t>
        </is>
      </c>
      <c r="R452" s="10" t="n">
        <v>46311</v>
      </c>
      <c r="S452" s="9" t="n"/>
      <c r="T452" s="9">
        <f>IF(H452="","",IF(MAX(H452,I452)&lt;TODAY(),"Terminé",IF(H452&lt;=TODAY(),"En cours","À venir")))</f>
        <v/>
      </c>
    </row>
    <row r="453">
      <c r="A453" s="9" t="inlineStr">
        <is>
          <t>PGA-2027-025</t>
        </is>
      </c>
      <c r="B453" s="9" t="inlineStr">
        <is>
          <t>Golf</t>
        </is>
      </c>
      <c r="C453" s="9" t="inlineStr">
        <is>
          <t>PGA Tour</t>
        </is>
      </c>
      <c r="D453" s="9" t="inlineStr">
        <is>
          <t>2027</t>
        </is>
      </c>
      <c r="E453" s="9" t="inlineStr">
        <is>
          <t>Tournoi</t>
        </is>
      </c>
      <c r="F453" s="9" t="n"/>
      <c r="G453" s="9" t="inlineStr">
        <is>
          <t>PGA Tour – John Deere Classic</t>
        </is>
      </c>
      <c r="H453" s="10" t="n">
        <v>46569</v>
      </c>
      <c r="I453" s="10" t="n">
        <v>46572</v>
      </c>
      <c r="J453" s="11" t="n"/>
      <c r="K453" s="9" t="inlineStr">
        <is>
          <t>Europe/Paris</t>
        </is>
      </c>
      <c r="L453" s="9" t="inlineStr">
        <is>
          <t>TPC Deere Run, Silvis (Illinois)</t>
        </is>
      </c>
      <c r="M453" s="9" t="inlineStr">
        <is>
          <t>États-Unis</t>
        </is>
      </c>
      <c r="N453" s="9" t="inlineStr">
        <is>
          <t>Hommes</t>
        </is>
      </c>
      <c r="O453" s="9" t="inlineStr">
        <is>
          <t>Officiel</t>
        </is>
      </c>
      <c r="P453" s="9" t="inlineStr">
        <is>
          <t>Oui</t>
        </is>
      </c>
      <c r="Q453" s="9" t="inlineStr">
        <is>
          <t>https://www.skysports.com/golf/news/13577335/pga-tour-2027-schedule-new-event-big-changes-and-different-opening-tournament-part-of-revamped-fedexcup-calendar</t>
        </is>
      </c>
      <c r="R453" s="10" t="n">
        <v>46311</v>
      </c>
      <c r="S453" s="9" t="n"/>
      <c r="T453" s="9">
        <f>IF(H453="","",IF(MAX(H453,I453)&lt;TODAY(),"Terminé",IF(H453&lt;=TODAY(),"En cours","À venir")))</f>
        <v/>
      </c>
    </row>
    <row r="454">
      <c r="A454" s="9" t="inlineStr">
        <is>
          <t>PGA-2027-026</t>
        </is>
      </c>
      <c r="B454" s="9" t="inlineStr">
        <is>
          <t>Golf</t>
        </is>
      </c>
      <c r="C454" s="9" t="inlineStr">
        <is>
          <t>PGA Tour</t>
        </is>
      </c>
      <c r="D454" s="9" t="inlineStr">
        <is>
          <t>2027</t>
        </is>
      </c>
      <c r="E454" s="9" t="inlineStr">
        <is>
          <t>Tournoi</t>
        </is>
      </c>
      <c r="F454" s="9" t="n"/>
      <c r="G454" s="9" t="inlineStr">
        <is>
          <t>PGA Tour – Genesis Scottish Open</t>
        </is>
      </c>
      <c r="H454" s="10" t="n">
        <v>46576</v>
      </c>
      <c r="I454" s="10" t="n">
        <v>46579</v>
      </c>
      <c r="J454" s="11" t="n"/>
      <c r="K454" s="9" t="inlineStr">
        <is>
          <t>Europe/Paris</t>
        </is>
      </c>
      <c r="L454" s="9" t="n"/>
      <c r="M454" s="9" t="inlineStr">
        <is>
          <t>Royaume-Uni</t>
        </is>
      </c>
      <c r="N454" s="9" t="inlineStr">
        <is>
          <t>Hommes</t>
        </is>
      </c>
      <c r="O454" s="9" t="inlineStr">
        <is>
          <t>Provisoire</t>
        </is>
      </c>
      <c r="P454" s="9" t="inlineStr">
        <is>
          <t>Oui</t>
        </is>
      </c>
      <c r="Q454" s="9" t="inlineStr">
        <is>
          <t>https://www.skysports.com/golf/news/13577335/pga-tour-2027-schedule-new-event-big-changes-and-different-opening-tournament-part-of-revamped-fedexcup-calendar</t>
        </is>
      </c>
      <c r="R454" s="10" t="n">
        <v>46311</v>
      </c>
      <c r="S454" s="9" t="inlineStr">
        <is>
          <t>Co-sanctionné DP World Tour ; parcours non vérifié</t>
        </is>
      </c>
      <c r="T454" s="9">
        <f>IF(H454="","",IF(MAX(H454,I454)&lt;TODAY(),"Terminé",IF(H454&lt;=TODAY(),"En cours","À venir")))</f>
        <v/>
      </c>
    </row>
    <row r="455">
      <c r="A455" s="9" t="inlineStr">
        <is>
          <t>PGA-2027-027</t>
        </is>
      </c>
      <c r="B455" s="9" t="inlineStr">
        <is>
          <t>Golf</t>
        </is>
      </c>
      <c r="C455" s="9" t="inlineStr">
        <is>
          <t>PGA Tour</t>
        </is>
      </c>
      <c r="D455" s="9" t="inlineStr">
        <is>
          <t>2027</t>
        </is>
      </c>
      <c r="E455" s="9" t="inlineStr">
        <is>
          <t>Tournoi</t>
        </is>
      </c>
      <c r="F455" s="9" t="n"/>
      <c r="G455" s="9" t="inlineStr">
        <is>
          <t>PGA Tour – ISCO Championship</t>
        </is>
      </c>
      <c r="H455" s="10" t="n">
        <v>46576</v>
      </c>
      <c r="I455" s="10" t="n">
        <v>46579</v>
      </c>
      <c r="J455" s="11" t="n"/>
      <c r="K455" s="9" t="inlineStr">
        <is>
          <t>Europe/Paris</t>
        </is>
      </c>
      <c r="L455" s="9" t="n"/>
      <c r="M455" s="9" t="inlineStr">
        <is>
          <t>États-Unis</t>
        </is>
      </c>
      <c r="N455" s="9" t="inlineStr">
        <is>
          <t>Hommes</t>
        </is>
      </c>
      <c r="O455" s="9" t="inlineStr">
        <is>
          <t>Provisoire</t>
        </is>
      </c>
      <c r="P455" s="9" t="inlineStr">
        <is>
          <t>Oui</t>
        </is>
      </c>
      <c r="Q455" s="9" t="inlineStr">
        <is>
          <t>https://www.skysports.com/golf/news/13577335/pga-tour-2027-schedule-new-event-big-changes-and-different-opening-tournament-part-of-revamped-fedexcup-calendar</t>
        </is>
      </c>
      <c r="R455" s="10" t="n">
        <v>46311</v>
      </c>
      <c r="S455" s="9" t="inlineStr">
        <is>
          <t>Tournoi opposé ; parcours non vérifié</t>
        </is>
      </c>
      <c r="T455" s="9">
        <f>IF(H455="","",IF(MAX(H455,I455)&lt;TODAY(),"Terminé",IF(H455&lt;=TODAY(),"En cours","À venir")))</f>
        <v/>
      </c>
    </row>
    <row r="456">
      <c r="A456" s="9" t="inlineStr">
        <is>
          <t>PGA-2027-028</t>
        </is>
      </c>
      <c r="B456" s="9" t="inlineStr">
        <is>
          <t>Golf</t>
        </is>
      </c>
      <c r="C456" s="9" t="inlineStr">
        <is>
          <t>PGA Tour</t>
        </is>
      </c>
      <c r="D456" s="9" t="inlineStr">
        <is>
          <t>2027</t>
        </is>
      </c>
      <c r="E456" s="9" t="inlineStr">
        <is>
          <t>Tournoi</t>
        </is>
      </c>
      <c r="F456" s="9" t="n"/>
      <c r="G456" s="9" t="inlineStr">
        <is>
          <t>PGA Tour – Corales Puntacana Championship</t>
        </is>
      </c>
      <c r="H456" s="10" t="n">
        <v>46583</v>
      </c>
      <c r="I456" s="10" t="n">
        <v>46586</v>
      </c>
      <c r="J456" s="11" t="n"/>
      <c r="K456" s="9" t="inlineStr">
        <is>
          <t>Europe/Paris</t>
        </is>
      </c>
      <c r="L456" s="9" t="inlineStr">
        <is>
          <t>Puntacana Resort &amp; Club, Punta Cana</t>
        </is>
      </c>
      <c r="M456" s="9" t="inlineStr">
        <is>
          <t>République dominicaine</t>
        </is>
      </c>
      <c r="N456" s="9" t="inlineStr">
        <is>
          <t>Hommes</t>
        </is>
      </c>
      <c r="O456" s="9" t="inlineStr">
        <is>
          <t>Officiel</t>
        </is>
      </c>
      <c r="P456" s="9" t="inlineStr">
        <is>
          <t>Oui</t>
        </is>
      </c>
      <c r="Q456" s="9" t="inlineStr">
        <is>
          <t>https://www.nbcsports.com/golf/news/pga-tour-unveils-schedule-for-2027-season</t>
        </is>
      </c>
      <c r="R456" s="10" t="n">
        <v>46311</v>
      </c>
      <c r="S456" s="9" t="inlineStr">
        <is>
          <t>Tournoi opposé à The Open</t>
        </is>
      </c>
      <c r="T456" s="9">
        <f>IF(H456="","",IF(MAX(H456,I456)&lt;TODAY(),"Terminé",IF(H456&lt;=TODAY(),"En cours","À venir")))</f>
        <v/>
      </c>
    </row>
    <row r="457">
      <c r="A457" s="9" t="inlineStr">
        <is>
          <t>PGA-2027-029</t>
        </is>
      </c>
      <c r="B457" s="9" t="inlineStr">
        <is>
          <t>Golf</t>
        </is>
      </c>
      <c r="C457" s="9" t="inlineStr">
        <is>
          <t>PGA Tour</t>
        </is>
      </c>
      <c r="D457" s="9" t="inlineStr">
        <is>
          <t>2027</t>
        </is>
      </c>
      <c r="E457" s="9" t="inlineStr">
        <is>
          <t>Majeur</t>
        </is>
      </c>
      <c r="F457" s="9" t="n"/>
      <c r="G457" s="9" t="inlineStr">
        <is>
          <t>PGA Tour – The Open Championship</t>
        </is>
      </c>
      <c r="H457" s="10" t="n">
        <v>46583</v>
      </c>
      <c r="I457" s="10" t="n">
        <v>46586</v>
      </c>
      <c r="J457" s="11" t="n"/>
      <c r="K457" s="9" t="inlineStr">
        <is>
          <t>Europe/Paris</t>
        </is>
      </c>
      <c r="L457" s="9" t="inlineStr">
        <is>
          <t>Old Course, St Andrews (Écosse)</t>
        </is>
      </c>
      <c r="M457" s="9" t="inlineStr">
        <is>
          <t>Royaume-Uni</t>
        </is>
      </c>
      <c r="N457" s="9" t="inlineStr">
        <is>
          <t>Hommes</t>
        </is>
      </c>
      <c r="O457" s="9" t="inlineStr">
        <is>
          <t>Officiel</t>
        </is>
      </c>
      <c r="P457" s="9" t="inlineStr">
        <is>
          <t>Oui</t>
        </is>
      </c>
      <c r="Q457" s="9" t="inlineStr">
        <is>
          <t>https://www.skysports.com/golf/news/13577335/pga-tour-2027-schedule-new-event-big-changes-and-different-opening-tournament-part-of-revamped-fedexcup-calendar</t>
        </is>
      </c>
      <c r="R457" s="10" t="n">
        <v>46311</v>
      </c>
      <c r="S457" s="9" t="inlineStr">
        <is>
          <t>4e majeur</t>
        </is>
      </c>
      <c r="T457" s="9">
        <f>IF(H457="","",IF(MAX(H457,I457)&lt;TODAY(),"Terminé",IF(H457&lt;=TODAY(),"En cours","À venir")))</f>
        <v/>
      </c>
    </row>
    <row r="458">
      <c r="A458" s="9" t="inlineStr">
        <is>
          <t>PGA-2027-030</t>
        </is>
      </c>
      <c r="B458" s="9" t="inlineStr">
        <is>
          <t>Golf</t>
        </is>
      </c>
      <c r="C458" s="9" t="inlineStr">
        <is>
          <t>PGA Tour</t>
        </is>
      </c>
      <c r="D458" s="9" t="inlineStr">
        <is>
          <t>2027</t>
        </is>
      </c>
      <c r="E458" s="9" t="inlineStr">
        <is>
          <t>Tournoi</t>
        </is>
      </c>
      <c r="F458" s="9" t="n"/>
      <c r="G458" s="9" t="inlineStr">
        <is>
          <t>PGA Tour – 3M Open</t>
        </is>
      </c>
      <c r="H458" s="10" t="n">
        <v>46590</v>
      </c>
      <c r="I458" s="10" t="n">
        <v>46593</v>
      </c>
      <c r="J458" s="11" t="n"/>
      <c r="K458" s="9" t="inlineStr">
        <is>
          <t>Europe/Paris</t>
        </is>
      </c>
      <c r="L458" s="9" t="inlineStr">
        <is>
          <t>TPC Twin Cities, Blaine (Minnesota)</t>
        </is>
      </c>
      <c r="M458" s="9" t="inlineStr">
        <is>
          <t>États-Unis</t>
        </is>
      </c>
      <c r="N458" s="9" t="inlineStr">
        <is>
          <t>Hommes</t>
        </is>
      </c>
      <c r="O458" s="9" t="inlineStr">
        <is>
          <t>Officiel</t>
        </is>
      </c>
      <c r="P458" s="9" t="inlineStr">
        <is>
          <t>Oui</t>
        </is>
      </c>
      <c r="Q458" s="9" t="inlineStr">
        <is>
          <t>https://www.skysports.com/golf/news/13577335/pga-tour-2027-schedule-new-event-big-changes-and-different-opening-tournament-part-of-revamped-fedexcup-calendar</t>
        </is>
      </c>
      <c r="R458" s="10" t="n">
        <v>46311</v>
      </c>
      <c r="S458" s="9" t="n"/>
      <c r="T458" s="9">
        <f>IF(H458="","",IF(MAX(H458,I458)&lt;TODAY(),"Terminé",IF(H458&lt;=TODAY(),"En cours","À venir")))</f>
        <v/>
      </c>
    </row>
    <row r="459">
      <c r="A459" s="9" t="inlineStr">
        <is>
          <t>PGA-2027-031</t>
        </is>
      </c>
      <c r="B459" s="9" t="inlineStr">
        <is>
          <t>Golf</t>
        </is>
      </c>
      <c r="C459" s="9" t="inlineStr">
        <is>
          <t>PGA Tour</t>
        </is>
      </c>
      <c r="D459" s="9" t="inlineStr">
        <is>
          <t>2027</t>
        </is>
      </c>
      <c r="E459" s="9" t="inlineStr">
        <is>
          <t>Tournoi</t>
        </is>
      </c>
      <c r="F459" s="9" t="n"/>
      <c r="G459" s="9" t="inlineStr">
        <is>
          <t>PGA Tour – Sompo Championship</t>
        </is>
      </c>
      <c r="H459" s="10" t="n">
        <v>46597</v>
      </c>
      <c r="I459" s="10" t="n">
        <v>46600</v>
      </c>
      <c r="J459" s="11" t="n"/>
      <c r="K459" s="9" t="inlineStr">
        <is>
          <t>Europe/Paris</t>
        </is>
      </c>
      <c r="L459" s="9" t="inlineStr">
        <is>
          <t>Silverado Resort, Napa (Californie)</t>
        </is>
      </c>
      <c r="M459" s="9" t="inlineStr">
        <is>
          <t>États-Unis</t>
        </is>
      </c>
      <c r="N459" s="9" t="inlineStr">
        <is>
          <t>Hommes</t>
        </is>
      </c>
      <c r="O459" s="9" t="inlineStr">
        <is>
          <t>Officiel</t>
        </is>
      </c>
      <c r="P459" s="9" t="inlineStr">
        <is>
          <t>Oui</t>
        </is>
      </c>
      <c r="Q459" s="9" t="inlineStr">
        <is>
          <t>https://www.skysports.com/golf/news/13577335/pga-tour-2027-schedule-new-event-big-changes-and-different-opening-tournament-part-of-revamped-fedexcup-calendar</t>
        </is>
      </c>
      <c r="R459" s="10" t="n">
        <v>46311</v>
      </c>
      <c r="S459" s="9" t="inlineStr">
        <is>
          <t>Nouveau tournoi</t>
        </is>
      </c>
      <c r="T459" s="9">
        <f>IF(H459="","",IF(MAX(H459,I459)&lt;TODAY(),"Terminé",IF(H459&lt;=TODAY(),"En cours","À venir")))</f>
        <v/>
      </c>
    </row>
    <row r="460">
      <c r="A460" s="9" t="inlineStr">
        <is>
          <t>PGA-2027-032</t>
        </is>
      </c>
      <c r="B460" s="9" t="inlineStr">
        <is>
          <t>Golf</t>
        </is>
      </c>
      <c r="C460" s="9" t="inlineStr">
        <is>
          <t>PGA Tour</t>
        </is>
      </c>
      <c r="D460" s="9" t="inlineStr">
        <is>
          <t>2027</t>
        </is>
      </c>
      <c r="E460" s="9" t="inlineStr">
        <is>
          <t>Tournoi</t>
        </is>
      </c>
      <c r="F460" s="9" t="n"/>
      <c r="G460" s="9" t="inlineStr">
        <is>
          <t>PGA Tour – Tournoi de Sedgefield (Wyndham Championship)</t>
        </is>
      </c>
      <c r="H460" s="10" t="n">
        <v>46604</v>
      </c>
      <c r="I460" s="10" t="n">
        <v>46607</v>
      </c>
      <c r="J460" s="11" t="n"/>
      <c r="K460" s="9" t="inlineStr">
        <is>
          <t>Europe/Paris</t>
        </is>
      </c>
      <c r="L460" s="9" t="inlineStr">
        <is>
          <t>Sedgefield Country Club, Greensboro (Caroline du Nord)</t>
        </is>
      </c>
      <c r="M460" s="9" t="inlineStr">
        <is>
          <t>États-Unis</t>
        </is>
      </c>
      <c r="N460" s="9" t="inlineStr">
        <is>
          <t>Hommes</t>
        </is>
      </c>
      <c r="O460" s="9" t="inlineStr">
        <is>
          <t>À confirmer</t>
        </is>
      </c>
      <c r="P460" s="9" t="inlineStr">
        <is>
          <t>Oui</t>
        </is>
      </c>
      <c r="Q460" s="9" t="inlineStr">
        <is>
          <t>https://www.skysports.com/golf/news/13577335/pga-tour-2027-schedule-new-event-big-changes-and-different-opening-tournament-part-of-revamped-fedexcup-calendar</t>
        </is>
      </c>
      <c r="R460" s="10" t="n">
        <v>46311</v>
      </c>
      <c r="S460" s="9" t="inlineStr">
        <is>
          <t>Dernier tournoi de saison régulière ; nom/sponsor non vérifié</t>
        </is>
      </c>
      <c r="T460" s="9">
        <f>IF(H460="","",IF(MAX(H460,I460)&lt;TODAY(),"Terminé",IF(H460&lt;=TODAY(),"En cours","À venir")))</f>
        <v/>
      </c>
    </row>
    <row r="461">
      <c r="A461" s="9" t="inlineStr">
        <is>
          <t>PGA-2027-033</t>
        </is>
      </c>
      <c r="B461" s="9" t="inlineStr">
        <is>
          <t>Golf</t>
        </is>
      </c>
      <c r="C461" s="9" t="inlineStr">
        <is>
          <t>PGA Tour</t>
        </is>
      </c>
      <c r="D461" s="9" t="inlineStr">
        <is>
          <t>2027</t>
        </is>
      </c>
      <c r="E461" s="9" t="inlineStr">
        <is>
          <t>Play-offs FedExCup</t>
        </is>
      </c>
      <c r="F461" s="9" t="n"/>
      <c r="G461" s="9" t="inlineStr">
        <is>
          <t>PGA Tour – FedEx St. Jude Championship</t>
        </is>
      </c>
      <c r="H461" s="10" t="n">
        <v>46611</v>
      </c>
      <c r="I461" s="10" t="n">
        <v>46614</v>
      </c>
      <c r="J461" s="11" t="n"/>
      <c r="K461" s="9" t="inlineStr">
        <is>
          <t>Europe/Paris</t>
        </is>
      </c>
      <c r="L461" s="9" t="inlineStr">
        <is>
          <t>TPC Southwind, Memphis (Tennessee)</t>
        </is>
      </c>
      <c r="M461" s="9" t="inlineStr">
        <is>
          <t>États-Unis</t>
        </is>
      </c>
      <c r="N461" s="9" t="inlineStr">
        <is>
          <t>Hommes</t>
        </is>
      </c>
      <c r="O461" s="9" t="inlineStr">
        <is>
          <t>Officiel</t>
        </is>
      </c>
      <c r="P461" s="9" t="inlineStr">
        <is>
          <t>Oui</t>
        </is>
      </c>
      <c r="Q461" s="9" t="inlineStr">
        <is>
          <t>https://www.golfchannel.com/pga-tour/news/pga-tour-2027-schedule-36-events-two-at-pebble-more-signature-spacing</t>
        </is>
      </c>
      <c r="R461" s="10" t="n">
        <v>46311</v>
      </c>
      <c r="S461" s="9" t="n"/>
      <c r="T461" s="9">
        <f>IF(H461="","",IF(MAX(H461,I461)&lt;TODAY(),"Terminé",IF(H461&lt;=TODAY(),"En cours","À venir")))</f>
        <v/>
      </c>
    </row>
    <row r="462">
      <c r="A462" s="9" t="inlineStr">
        <is>
          <t>PGA-2027-034</t>
        </is>
      </c>
      <c r="B462" s="9" t="inlineStr">
        <is>
          <t>Golf</t>
        </is>
      </c>
      <c r="C462" s="9" t="inlineStr">
        <is>
          <t>PGA Tour</t>
        </is>
      </c>
      <c r="D462" s="9" t="inlineStr">
        <is>
          <t>2027</t>
        </is>
      </c>
      <c r="E462" s="9" t="inlineStr">
        <is>
          <t>Play-offs FedExCup</t>
        </is>
      </c>
      <c r="F462" s="9" t="n"/>
      <c r="G462" s="9" t="inlineStr">
        <is>
          <t>PGA Tour – BMW Championship</t>
        </is>
      </c>
      <c r="H462" s="10" t="n">
        <v>46618</v>
      </c>
      <c r="I462" s="10" t="n">
        <v>46621</v>
      </c>
      <c r="J462" s="11" t="n"/>
      <c r="K462" s="9" t="inlineStr">
        <is>
          <t>Europe/Paris</t>
        </is>
      </c>
      <c r="L462" s="9" t="inlineStr">
        <is>
          <t>Liberty National Golf Club, Jersey City (New Jersey)</t>
        </is>
      </c>
      <c r="M462" s="9" t="inlineStr">
        <is>
          <t>États-Unis</t>
        </is>
      </c>
      <c r="N462" s="9" t="inlineStr">
        <is>
          <t>Hommes</t>
        </is>
      </c>
      <c r="O462" s="9" t="inlineStr">
        <is>
          <t>Officiel</t>
        </is>
      </c>
      <c r="P462" s="9" t="inlineStr">
        <is>
          <t>Oui</t>
        </is>
      </c>
      <c r="Q462" s="9" t="inlineStr">
        <is>
          <t>https://www.golfchannel.com/pga-tour/news/pga-tour-2027-schedule-36-events-two-at-pebble-more-signature-spacing</t>
        </is>
      </c>
      <c r="R462" s="10" t="n">
        <v>46311</v>
      </c>
      <c r="S462" s="9" t="n"/>
      <c r="T462" s="9">
        <f>IF(H462="","",IF(MAX(H462,I462)&lt;TODAY(),"Terminé",IF(H462&lt;=TODAY(),"En cours","À venir")))</f>
        <v/>
      </c>
    </row>
    <row r="463">
      <c r="A463" s="9" t="inlineStr">
        <is>
          <t>PGA-2027-035</t>
        </is>
      </c>
      <c r="B463" s="9" t="inlineStr">
        <is>
          <t>Golf</t>
        </is>
      </c>
      <c r="C463" s="9" t="inlineStr">
        <is>
          <t>PGA Tour</t>
        </is>
      </c>
      <c r="D463" s="9" t="inlineStr">
        <is>
          <t>2027</t>
        </is>
      </c>
      <c r="E463" s="9" t="inlineStr">
        <is>
          <t>Play-offs FedExCup</t>
        </is>
      </c>
      <c r="F463" s="9" t="n"/>
      <c r="G463" s="9" t="inlineStr">
        <is>
          <t>PGA Tour – TOUR Championship</t>
        </is>
      </c>
      <c r="H463" s="10" t="n">
        <v>46625</v>
      </c>
      <c r="I463" s="10" t="n">
        <v>46628</v>
      </c>
      <c r="J463" s="11" t="n"/>
      <c r="K463" s="9" t="inlineStr">
        <is>
          <t>Europe/Paris</t>
        </is>
      </c>
      <c r="L463" s="9" t="inlineStr">
        <is>
          <t>East Lake Golf Club, Atlanta (Géorgie)</t>
        </is>
      </c>
      <c r="M463" s="9" t="inlineStr">
        <is>
          <t>États-Unis</t>
        </is>
      </c>
      <c r="N463" s="9" t="inlineStr">
        <is>
          <t>Hommes</t>
        </is>
      </c>
      <c r="O463" s="9" t="inlineStr">
        <is>
          <t>Officiel</t>
        </is>
      </c>
      <c r="P463" s="9" t="inlineStr">
        <is>
          <t>Oui</t>
        </is>
      </c>
      <c r="Q463" s="9" t="inlineStr">
        <is>
          <t>https://www.skysports.com/golf/news/13577335/pga-tour-2027-schedule-new-event-big-changes-and-different-opening-tournament-part-of-revamped-fedexcup-calendar</t>
        </is>
      </c>
      <c r="R463" s="10" t="n">
        <v>46311</v>
      </c>
      <c r="S463" s="9" t="inlineStr">
        <is>
          <t>Finale FedExCup (dernier format avant refonte 2028)</t>
        </is>
      </c>
      <c r="T463" s="9">
        <f>IF(H463="","",IF(MAX(H463,I463)&lt;TODAY(),"Terminé",IF(H463&lt;=TODAY(),"En cours","À venir")))</f>
        <v/>
      </c>
    </row>
    <row r="464">
      <c r="A464" s="9" t="inlineStr">
        <is>
          <t>PGA-2027-036</t>
        </is>
      </c>
      <c r="B464" s="9" t="inlineStr">
        <is>
          <t>Golf</t>
        </is>
      </c>
      <c r="C464" s="9" t="inlineStr">
        <is>
          <t>PGA Tour</t>
        </is>
      </c>
      <c r="D464" s="9" t="inlineStr">
        <is>
          <t>2027</t>
        </is>
      </c>
      <c r="E464" s="9" t="inlineStr">
        <is>
          <t>Tournoi</t>
        </is>
      </c>
      <c r="F464" s="9" t="n"/>
      <c r="G464" s="9" t="inlineStr">
        <is>
          <t>PGA Tour – Puerto Rico Open</t>
        </is>
      </c>
      <c r="H464" s="10" t="n"/>
      <c r="I464" s="10" t="n"/>
      <c r="J464" s="11" t="n"/>
      <c r="K464" s="9" t="inlineStr">
        <is>
          <t>Europe/Paris</t>
        </is>
      </c>
      <c r="L464" s="9" t="n"/>
      <c r="M464" s="9" t="inlineStr">
        <is>
          <t>Porto Rico</t>
        </is>
      </c>
      <c r="N464" s="9" t="inlineStr">
        <is>
          <t>Hommes</t>
        </is>
      </c>
      <c r="O464" s="9" t="inlineStr">
        <is>
          <t>À confirmer</t>
        </is>
      </c>
      <c r="P464" s="9" t="inlineStr">
        <is>
          <t>Oui</t>
        </is>
      </c>
      <c r="Q464" s="9" t="inlineStr">
        <is>
          <t>https://www.golfchannel.com/pga-tour/news/pga-tour-2027-schedule-36-events-two-at-pebble-more-signature-spacing</t>
        </is>
      </c>
      <c r="R464" s="10" t="n">
        <v>46311</v>
      </c>
      <c r="S464" s="9" t="inlineStr">
        <is>
          <t>Pressenti sur la date libre opposée au Genesis (18-21/02), non officialisé</t>
        </is>
      </c>
      <c r="T464" s="9">
        <f>IF(H464="","",IF(MAX(H464,I464)&lt;TODAY(),"Terminé",IF(H464&lt;=TODAY(),"En cours","À venir")))</f>
        <v/>
      </c>
    </row>
    <row r="465">
      <c r="A465" s="9" t="inlineStr">
        <is>
          <t>F1-2026-001</t>
        </is>
      </c>
      <c r="B465" s="9" t="inlineStr">
        <is>
          <t>Sport automobile</t>
        </is>
      </c>
      <c r="C465" s="9" t="inlineStr">
        <is>
          <t>Formule 1</t>
        </is>
      </c>
      <c r="D465" s="9" t="inlineStr">
        <is>
          <t>2026</t>
        </is>
      </c>
      <c r="E465" s="9" t="inlineStr">
        <is>
          <t>Championnat du monde</t>
        </is>
      </c>
      <c r="F465" s="9" t="n">
        <v>16</v>
      </c>
      <c r="G465" s="9" t="inlineStr">
        <is>
          <t>Grand Prix de Bahreïn (à Sepang)</t>
        </is>
      </c>
      <c r="H465" s="10" t="n">
        <v>46297</v>
      </c>
      <c r="I465" s="10" t="n">
        <v>46299</v>
      </c>
      <c r="J465" s="11" t="inlineStr">
        <is>
          <t>09:00</t>
        </is>
      </c>
      <c r="K465" s="9" t="inlineStr">
        <is>
          <t>Europe/Paris</t>
        </is>
      </c>
      <c r="L465" s="9" t="inlineStr">
        <is>
          <t>Sepang International Circuit, Sepang</t>
        </is>
      </c>
      <c r="M465" s="9" t="inlineStr">
        <is>
          <t>Malaisie</t>
        </is>
      </c>
      <c r="N465" s="9" t="inlineStr">
        <is>
          <t>Hommes</t>
        </is>
      </c>
      <c r="O465" s="9" t="inlineStr">
        <is>
          <t>Officiel</t>
        </is>
      </c>
      <c r="P465" s="9" t="inlineStr">
        <is>
          <t>Oui</t>
        </is>
      </c>
      <c r="Q465" s="9" t="inlineStr">
        <is>
          <t>https://www.formula1.com/en/latest/article/formula-1-and-fia-confirm-malaysia-will-join-2026-calendar-as-host-venue-for-bahrain-grand-prix.6lL7vjFEM2VVynRHvg1TCf</t>
        </is>
      </c>
      <c r="R465" s="10" t="n">
        <v>46311</v>
      </c>
      <c r="S465" s="9" t="inlineStr">
        <is>
          <t>Course déjà disputée. GP de Bahreïn délocalisé en Malaisie (conflit au Moyen-Orient)</t>
        </is>
      </c>
      <c r="T465" s="9">
        <f>IF(H465="","",IF(MAX(H465,I465)&lt;TODAY(),"Terminé",IF(H465&lt;=TODAY(),"En cours","À venir")))</f>
        <v/>
      </c>
    </row>
    <row r="466">
      <c r="A466" s="9" t="inlineStr">
        <is>
          <t>F1-2026-002</t>
        </is>
      </c>
      <c r="B466" s="9" t="inlineStr">
        <is>
          <t>Sport automobile</t>
        </is>
      </c>
      <c r="C466" s="9" t="inlineStr">
        <is>
          <t>Formule 1</t>
        </is>
      </c>
      <c r="D466" s="9" t="inlineStr">
        <is>
          <t>2026</t>
        </is>
      </c>
      <c r="E466" s="9" t="inlineStr">
        <is>
          <t>Championnat du monde</t>
        </is>
      </c>
      <c r="F466" s="9" t="n">
        <v>17</v>
      </c>
      <c r="G466" s="9" t="inlineStr">
        <is>
          <t>Grand Prix de Singapour</t>
        </is>
      </c>
      <c r="H466" s="10" t="n">
        <v>46304</v>
      </c>
      <c r="I466" s="10" t="n">
        <v>46306</v>
      </c>
      <c r="J466" s="11" t="inlineStr">
        <is>
          <t>14:00</t>
        </is>
      </c>
      <c r="K466" s="9" t="inlineStr">
        <is>
          <t>Europe/Paris</t>
        </is>
      </c>
      <c r="L466" s="9" t="inlineStr">
        <is>
          <t>Marina Bay Street Circuit, Singapour</t>
        </is>
      </c>
      <c r="M466" s="9" t="inlineStr">
        <is>
          <t>Singapour</t>
        </is>
      </c>
      <c r="N466" s="9" t="inlineStr">
        <is>
          <t>Hommes</t>
        </is>
      </c>
      <c r="O466" s="9" t="inlineStr">
        <is>
          <t>Officiel</t>
        </is>
      </c>
      <c r="P466" s="9" t="inlineStr">
        <is>
          <t>Oui</t>
        </is>
      </c>
      <c r="Q466" s="9" t="inlineStr">
        <is>
          <t>https://www.formula1.com/en/latest/article/official-grand-prix-start-times-for-2026-f1-season-confirmed.2UgPfArqH76tzlOYh21jSG</t>
        </is>
      </c>
      <c r="R466" s="10" t="n">
        <v>46311</v>
      </c>
      <c r="S466" s="9" t="inlineStr">
        <is>
          <t>Course déjà disputée. Week-end sprint</t>
        </is>
      </c>
      <c r="T466" s="9">
        <f>IF(H466="","",IF(MAX(H466,I466)&lt;TODAY(),"Terminé",IF(H466&lt;=TODAY(),"En cours","À venir")))</f>
        <v/>
      </c>
    </row>
    <row r="467">
      <c r="A467" s="9" t="inlineStr">
        <is>
          <t>F1-2026-003</t>
        </is>
      </c>
      <c r="B467" s="9" t="inlineStr">
        <is>
          <t>Sport automobile</t>
        </is>
      </c>
      <c r="C467" s="9" t="inlineStr">
        <is>
          <t>Formule 1</t>
        </is>
      </c>
      <c r="D467" s="9" t="inlineStr">
        <is>
          <t>2026</t>
        </is>
      </c>
      <c r="E467" s="9" t="inlineStr">
        <is>
          <t>Championnat du monde</t>
        </is>
      </c>
      <c r="F467" s="9" t="n">
        <v>18</v>
      </c>
      <c r="G467" s="9" t="inlineStr">
        <is>
          <t>Grand Prix des États-Unis</t>
        </is>
      </c>
      <c r="H467" s="10" t="n">
        <v>46318</v>
      </c>
      <c r="I467" s="10" t="n">
        <v>46320</v>
      </c>
      <c r="J467" s="11" t="inlineStr">
        <is>
          <t>21:00</t>
        </is>
      </c>
      <c r="K467" s="9" t="inlineStr">
        <is>
          <t>Europe/Paris</t>
        </is>
      </c>
      <c r="L467" s="9" t="inlineStr">
        <is>
          <t>Circuit of the Americas, Austin</t>
        </is>
      </c>
      <c r="M467" s="9" t="inlineStr">
        <is>
          <t>États-Unis</t>
        </is>
      </c>
      <c r="N467" s="9" t="inlineStr">
        <is>
          <t>Hommes</t>
        </is>
      </c>
      <c r="O467" s="9" t="inlineStr">
        <is>
          <t>Officiel</t>
        </is>
      </c>
      <c r="P467" s="9" t="inlineStr">
        <is>
          <t>Oui</t>
        </is>
      </c>
      <c r="Q467" s="9" t="inlineStr">
        <is>
          <t>https://www.formula1.com/en/latest/article/official-grand-prix-start-times-for-2026-f1-season-confirmed.2UgPfArqH76tzlOYh21jSG</t>
        </is>
      </c>
      <c r="R467" s="10" t="n">
        <v>46311</v>
      </c>
      <c r="S467" s="9" t="inlineStr">
        <is>
          <t>Départ 15h00 locale (passage à l'heure d'hiver en France le 25/10)</t>
        </is>
      </c>
      <c r="T467" s="9">
        <f>IF(H467="","",IF(MAX(H467,I467)&lt;TODAY(),"Terminé",IF(H467&lt;=TODAY(),"En cours","À venir")))</f>
        <v/>
      </c>
    </row>
    <row r="468">
      <c r="A468" s="9" t="inlineStr">
        <is>
          <t>F1-2026-004</t>
        </is>
      </c>
      <c r="B468" s="9" t="inlineStr">
        <is>
          <t>Sport automobile</t>
        </is>
      </c>
      <c r="C468" s="9" t="inlineStr">
        <is>
          <t>Formule 1</t>
        </is>
      </c>
      <c r="D468" s="9" t="inlineStr">
        <is>
          <t>2026</t>
        </is>
      </c>
      <c r="E468" s="9" t="inlineStr">
        <is>
          <t>Championnat du monde</t>
        </is>
      </c>
      <c r="F468" s="9" t="n">
        <v>19</v>
      </c>
      <c r="G468" s="9" t="inlineStr">
        <is>
          <t>Grand Prix de Mexico</t>
        </is>
      </c>
      <c r="H468" s="10" t="n">
        <v>46325</v>
      </c>
      <c r="I468" s="10" t="n">
        <v>46327</v>
      </c>
      <c r="J468" s="11" t="inlineStr">
        <is>
          <t>21:00</t>
        </is>
      </c>
      <c r="K468" s="9" t="inlineStr">
        <is>
          <t>Europe/Paris</t>
        </is>
      </c>
      <c r="L468" s="9" t="inlineStr">
        <is>
          <t>Autódromo Hermanos Rodríguez, Mexico</t>
        </is>
      </c>
      <c r="M468" s="9" t="inlineStr">
        <is>
          <t>Mexique</t>
        </is>
      </c>
      <c r="N468" s="9" t="inlineStr">
        <is>
          <t>Hommes</t>
        </is>
      </c>
      <c r="O468" s="9" t="inlineStr">
        <is>
          <t>Officiel</t>
        </is>
      </c>
      <c r="P468" s="9" t="inlineStr">
        <is>
          <t>Oui</t>
        </is>
      </c>
      <c r="Q468" s="9" t="inlineStr">
        <is>
          <t>https://www.formula1.com/en/latest/article/official-grand-prix-start-times-for-2026-f1-season-confirmed.2UgPfArqH76tzlOYh21jSG</t>
        </is>
      </c>
      <c r="R468" s="10" t="n">
        <v>46311</v>
      </c>
      <c r="S468" s="9" t="inlineStr">
        <is>
          <t>Départ 14h00 locale</t>
        </is>
      </c>
      <c r="T468" s="9">
        <f>IF(H468="","",IF(MAX(H468,I468)&lt;TODAY(),"Terminé",IF(H468&lt;=TODAY(),"En cours","À venir")))</f>
        <v/>
      </c>
    </row>
    <row r="469">
      <c r="A469" s="9" t="inlineStr">
        <is>
          <t>F1-2026-005</t>
        </is>
      </c>
      <c r="B469" s="9" t="inlineStr">
        <is>
          <t>Sport automobile</t>
        </is>
      </c>
      <c r="C469" s="9" t="inlineStr">
        <is>
          <t>Formule 1</t>
        </is>
      </c>
      <c r="D469" s="9" t="inlineStr">
        <is>
          <t>2026</t>
        </is>
      </c>
      <c r="E469" s="9" t="inlineStr">
        <is>
          <t>Championnat du monde</t>
        </is>
      </c>
      <c r="F469" s="9" t="n">
        <v>20</v>
      </c>
      <c r="G469" s="9" t="inlineStr">
        <is>
          <t>Grand Prix de São Paulo</t>
        </is>
      </c>
      <c r="H469" s="10" t="n">
        <v>46332</v>
      </c>
      <c r="I469" s="10" t="n">
        <v>46334</v>
      </c>
      <c r="J469" s="11" t="inlineStr">
        <is>
          <t>18:00</t>
        </is>
      </c>
      <c r="K469" s="9" t="inlineStr">
        <is>
          <t>Europe/Paris</t>
        </is>
      </c>
      <c r="L469" s="9" t="inlineStr">
        <is>
          <t>Autódromo José Carlos Pace (Interlagos), São Paulo</t>
        </is>
      </c>
      <c r="M469" s="9" t="inlineStr">
        <is>
          <t>Brésil</t>
        </is>
      </c>
      <c r="N469" s="9" t="inlineStr">
        <is>
          <t>Hommes</t>
        </is>
      </c>
      <c r="O469" s="9" t="inlineStr">
        <is>
          <t>Officiel</t>
        </is>
      </c>
      <c r="P469" s="9" t="inlineStr">
        <is>
          <t>Oui</t>
        </is>
      </c>
      <c r="Q469" s="9" t="inlineStr">
        <is>
          <t>https://www.formula1.com/en/latest/article/official-grand-prix-start-times-for-2026-f1-season-confirmed.2UgPfArqH76tzlOYh21jSG</t>
        </is>
      </c>
      <c r="R469" s="10" t="n">
        <v>46311</v>
      </c>
      <c r="S469" s="9" t="inlineStr">
        <is>
          <t>Départ 14h00 locale</t>
        </is>
      </c>
      <c r="T469" s="9">
        <f>IF(H469="","",IF(MAX(H469,I469)&lt;TODAY(),"Terminé",IF(H469&lt;=TODAY(),"En cours","À venir")))</f>
        <v/>
      </c>
    </row>
    <row r="470">
      <c r="A470" s="9" t="inlineStr">
        <is>
          <t>F1-2026-006</t>
        </is>
      </c>
      <c r="B470" s="9" t="inlineStr">
        <is>
          <t>Sport automobile</t>
        </is>
      </c>
      <c r="C470" s="9" t="inlineStr">
        <is>
          <t>Formule 1</t>
        </is>
      </c>
      <c r="D470" s="9" t="inlineStr">
        <is>
          <t>2026</t>
        </is>
      </c>
      <c r="E470" s="9" t="inlineStr">
        <is>
          <t>Championnat du monde</t>
        </is>
      </c>
      <c r="F470" s="9" t="n">
        <v>21</v>
      </c>
      <c r="G470" s="9" t="inlineStr">
        <is>
          <t>Grand Prix de Las Vegas</t>
        </is>
      </c>
      <c r="H470" s="10" t="n">
        <v>46345</v>
      </c>
      <c r="I470" s="10" t="n">
        <v>46347</v>
      </c>
      <c r="J470" s="11" t="inlineStr">
        <is>
          <t>05:00</t>
        </is>
      </c>
      <c r="K470" s="9" t="inlineStr">
        <is>
          <t>Europe/Paris</t>
        </is>
      </c>
      <c r="L470" s="9" t="inlineStr">
        <is>
          <t>Las Vegas Strip Circuit, Las Vegas</t>
        </is>
      </c>
      <c r="M470" s="9" t="inlineStr">
        <is>
          <t>États-Unis</t>
        </is>
      </c>
      <c r="N470" s="9" t="inlineStr">
        <is>
          <t>Hommes</t>
        </is>
      </c>
      <c r="O470" s="9" t="inlineStr">
        <is>
          <t>Officiel</t>
        </is>
      </c>
      <c r="P470" s="9" t="inlineStr">
        <is>
          <t>Oui</t>
        </is>
      </c>
      <c r="Q470" s="9" t="inlineStr">
        <is>
          <t>https://www.formula1.com/en/latest/article/official-grand-prix-start-times-for-2026-f1-season-confirmed.2UgPfArqH76tzlOYh21jSG</t>
        </is>
      </c>
      <c r="R470" s="10" t="n">
        <v>46311</v>
      </c>
      <c r="S470" s="9" t="inlineStr">
        <is>
          <t>Course le samedi 21/11 à 20h00 locale = dimanche 22/11 à 05h00 heure de Paris</t>
        </is>
      </c>
      <c r="T470" s="9">
        <f>IF(H470="","",IF(MAX(H470,I470)&lt;TODAY(),"Terminé",IF(H470&lt;=TODAY(),"En cours","À venir")))</f>
        <v/>
      </c>
    </row>
    <row r="471">
      <c r="A471" s="9" t="inlineStr">
        <is>
          <t>F1-2026-007</t>
        </is>
      </c>
      <c r="B471" s="9" t="inlineStr">
        <is>
          <t>Sport automobile</t>
        </is>
      </c>
      <c r="C471" s="9" t="inlineStr">
        <is>
          <t>Formule 1</t>
        </is>
      </c>
      <c r="D471" s="9" t="inlineStr">
        <is>
          <t>2026</t>
        </is>
      </c>
      <c r="E471" s="9" t="inlineStr">
        <is>
          <t>Championnat du monde</t>
        </is>
      </c>
      <c r="F471" s="9" t="n">
        <v>22</v>
      </c>
      <c r="G471" s="9" t="inlineStr">
        <is>
          <t>Grand Prix du Qatar</t>
        </is>
      </c>
      <c r="H471" s="10" t="n">
        <v>46353</v>
      </c>
      <c r="I471" s="10" t="n">
        <v>46355</v>
      </c>
      <c r="J471" s="11" t="inlineStr">
        <is>
          <t>17:00</t>
        </is>
      </c>
      <c r="K471" s="9" t="inlineStr">
        <is>
          <t>Europe/Paris</t>
        </is>
      </c>
      <c r="L471" s="9" t="inlineStr">
        <is>
          <t>Lusail International Circuit, Lusail</t>
        </is>
      </c>
      <c r="M471" s="9" t="inlineStr">
        <is>
          <t>Qatar</t>
        </is>
      </c>
      <c r="N471" s="9" t="inlineStr">
        <is>
          <t>Hommes</t>
        </is>
      </c>
      <c r="O471" s="9" t="inlineStr">
        <is>
          <t>Officiel</t>
        </is>
      </c>
      <c r="P471" s="9" t="inlineStr">
        <is>
          <t>Oui</t>
        </is>
      </c>
      <c r="Q471" s="9" t="inlineStr">
        <is>
          <t>https://www.formula1.com/en/latest/article/official-grand-prix-start-times-for-2026-f1-season-confirmed.2UgPfArqH76tzlOYh21jSG</t>
        </is>
      </c>
      <c r="R471" s="10" t="n">
        <v>46311</v>
      </c>
      <c r="S471" s="9" t="inlineStr">
        <is>
          <t>Départ 19h00 locale. Maintien confirmé par F1 début octobre malgré le contexte régional</t>
        </is>
      </c>
      <c r="T471" s="9">
        <f>IF(H471="","",IF(MAX(H471,I471)&lt;TODAY(),"Terminé",IF(H471&lt;=TODAY(),"En cours","À venir")))</f>
        <v/>
      </c>
    </row>
    <row r="472">
      <c r="A472" s="9" t="inlineStr">
        <is>
          <t>F1-2026-008</t>
        </is>
      </c>
      <c r="B472" s="9" t="inlineStr">
        <is>
          <t>Sport automobile</t>
        </is>
      </c>
      <c r="C472" s="9" t="inlineStr">
        <is>
          <t>Formule 1</t>
        </is>
      </c>
      <c r="D472" s="9" t="inlineStr">
        <is>
          <t>2026</t>
        </is>
      </c>
      <c r="E472" s="9" t="inlineStr">
        <is>
          <t>Championnat du monde</t>
        </is>
      </c>
      <c r="F472" s="9" t="n">
        <v>23</v>
      </c>
      <c r="G472" s="9" t="inlineStr">
        <is>
          <t>Grand Prix d'Abou Dabi</t>
        </is>
      </c>
      <c r="H472" s="10" t="n">
        <v>46360</v>
      </c>
      <c r="I472" s="10" t="n">
        <v>46362</v>
      </c>
      <c r="J472" s="11" t="inlineStr">
        <is>
          <t>14:00</t>
        </is>
      </c>
      <c r="K472" s="9" t="inlineStr">
        <is>
          <t>Europe/Paris</t>
        </is>
      </c>
      <c r="L472" s="9" t="inlineStr">
        <is>
          <t>Yas Marina Circuit, Abou Dabi</t>
        </is>
      </c>
      <c r="M472" s="9" t="inlineStr">
        <is>
          <t>Émirats arabes unis</t>
        </is>
      </c>
      <c r="N472" s="9" t="inlineStr">
        <is>
          <t>Hommes</t>
        </is>
      </c>
      <c r="O472" s="9" t="inlineStr">
        <is>
          <t>Officiel</t>
        </is>
      </c>
      <c r="P472" s="9" t="inlineStr">
        <is>
          <t>Oui</t>
        </is>
      </c>
      <c r="Q472" s="9" t="inlineStr">
        <is>
          <t>https://www.formula1.com/en/latest/article/official-grand-prix-start-times-for-2026-f1-season-confirmed.2UgPfArqH76tzlOYh21jSG</t>
        </is>
      </c>
      <c r="R472" s="10" t="n">
        <v>46311</v>
      </c>
      <c r="S472" s="9" t="inlineStr">
        <is>
          <t>Départ 17h00 locale. Dernière manche 2026</t>
        </is>
      </c>
      <c r="T472" s="9">
        <f>IF(H472="","",IF(MAX(H472,I472)&lt;TODAY(),"Terminé",IF(H472&lt;=TODAY(),"En cours","À venir")))</f>
        <v/>
      </c>
    </row>
    <row r="473">
      <c r="A473" s="9" t="inlineStr">
        <is>
          <t>F1-2027-001</t>
        </is>
      </c>
      <c r="B473" s="9" t="inlineStr">
        <is>
          <t>Sport automobile</t>
        </is>
      </c>
      <c r="C473" s="9" t="inlineStr">
        <is>
          <t>Formule 1</t>
        </is>
      </c>
      <c r="D473" s="9" t="inlineStr">
        <is>
          <t>2027</t>
        </is>
      </c>
      <c r="E473" s="9" t="inlineStr">
        <is>
          <t>Championnat du monde</t>
        </is>
      </c>
      <c r="F473" s="9" t="n">
        <v>1</v>
      </c>
      <c r="G473" s="9" t="inlineStr">
        <is>
          <t>Grand Prix de Bahreïn</t>
        </is>
      </c>
      <c r="H473" s="10" t="n">
        <v>46458</v>
      </c>
      <c r="I473" s="10" t="n">
        <v>46460</v>
      </c>
      <c r="J473" s="11" t="n"/>
      <c r="K473" s="9" t="inlineStr">
        <is>
          <t>Europe/Paris</t>
        </is>
      </c>
      <c r="L473" s="9" t="inlineStr">
        <is>
          <t>Bahrain International Circuit, Sakhir</t>
        </is>
      </c>
      <c r="M473" s="9" t="inlineStr">
        <is>
          <t>Bahreïn</t>
        </is>
      </c>
      <c r="N473" s="9" t="inlineStr">
        <is>
          <t>Hommes</t>
        </is>
      </c>
      <c r="O473" s="9" t="inlineStr">
        <is>
          <t>Officiel</t>
        </is>
      </c>
      <c r="P473" s="9" t="inlineStr">
        <is>
          <t>Oui</t>
        </is>
      </c>
      <c r="Q473" s="9" t="inlineStr">
        <is>
          <t>https://www.formula1.com/en/racing/2027</t>
        </is>
      </c>
      <c r="R473" s="10" t="n">
        <v>46311</v>
      </c>
      <c r="S473" s="9" t="inlineStr">
        <is>
          <t>Week-end sprint. Essais hivernaux à Bahreïn du 24 au 27/02. Horaires de course non publiés</t>
        </is>
      </c>
      <c r="T473" s="9">
        <f>IF(H473="","",IF(MAX(H473,I473)&lt;TODAY(),"Terminé",IF(H473&lt;=TODAY(),"En cours","À venir")))</f>
        <v/>
      </c>
    </row>
    <row r="474">
      <c r="A474" s="9" t="inlineStr">
        <is>
          <t>F1-2027-002</t>
        </is>
      </c>
      <c r="B474" s="9" t="inlineStr">
        <is>
          <t>Sport automobile</t>
        </is>
      </c>
      <c r="C474" s="9" t="inlineStr">
        <is>
          <t>Formule 1</t>
        </is>
      </c>
      <c r="D474" s="9" t="inlineStr">
        <is>
          <t>2027</t>
        </is>
      </c>
      <c r="E474" s="9" t="inlineStr">
        <is>
          <t>Championnat du monde</t>
        </is>
      </c>
      <c r="F474" s="9" t="n">
        <v>2</v>
      </c>
      <c r="G474" s="9" t="inlineStr">
        <is>
          <t>Grand Prix d'Arabie saoudite</t>
        </is>
      </c>
      <c r="H474" s="10" t="n">
        <v>46465</v>
      </c>
      <c r="I474" s="10" t="n">
        <v>46467</v>
      </c>
      <c r="J474" s="11" t="n"/>
      <c r="K474" s="9" t="inlineStr">
        <is>
          <t>Europe/Paris</t>
        </is>
      </c>
      <c r="L474" s="9" t="inlineStr">
        <is>
          <t>Jeddah Corniche Circuit, Djeddah</t>
        </is>
      </c>
      <c r="M474" s="9" t="inlineStr">
        <is>
          <t>Arabie saoudite</t>
        </is>
      </c>
      <c r="N474" s="9" t="inlineStr">
        <is>
          <t>Hommes</t>
        </is>
      </c>
      <c r="O474" s="9" t="inlineStr">
        <is>
          <t>Officiel</t>
        </is>
      </c>
      <c r="P474" s="9" t="inlineStr">
        <is>
          <t>Oui</t>
        </is>
      </c>
      <c r="Q474" s="9" t="inlineStr">
        <is>
          <t>https://www.formula1.com/en/racing/2027</t>
        </is>
      </c>
      <c r="R474" s="10" t="n">
        <v>46311</v>
      </c>
      <c r="S474" s="9" t="inlineStr">
        <is>
          <t>Horaires de course non publiés</t>
        </is>
      </c>
      <c r="T474" s="9">
        <f>IF(H474="","",IF(MAX(H474,I474)&lt;TODAY(),"Terminé",IF(H474&lt;=TODAY(),"En cours","À venir")))</f>
        <v/>
      </c>
    </row>
    <row r="475">
      <c r="A475" s="9" t="inlineStr">
        <is>
          <t>F1-2027-003</t>
        </is>
      </c>
      <c r="B475" s="9" t="inlineStr">
        <is>
          <t>Sport automobile</t>
        </is>
      </c>
      <c r="C475" s="9" t="inlineStr">
        <is>
          <t>Formule 1</t>
        </is>
      </c>
      <c r="D475" s="9" t="inlineStr">
        <is>
          <t>2027</t>
        </is>
      </c>
      <c r="E475" s="9" t="inlineStr">
        <is>
          <t>Championnat du monde</t>
        </is>
      </c>
      <c r="F475" s="9" t="n">
        <v>3</v>
      </c>
      <c r="G475" s="9" t="inlineStr">
        <is>
          <t>Grand Prix d'Australie</t>
        </is>
      </c>
      <c r="H475" s="10" t="n">
        <v>46479</v>
      </c>
      <c r="I475" s="10" t="n">
        <v>46481</v>
      </c>
      <c r="J475" s="11" t="n"/>
      <c r="K475" s="9" t="inlineStr">
        <is>
          <t>Europe/Paris</t>
        </is>
      </c>
      <c r="L475" s="9" t="inlineStr">
        <is>
          <t>Albert Park, Melbourne</t>
        </is>
      </c>
      <c r="M475" s="9" t="inlineStr">
        <is>
          <t>Australie</t>
        </is>
      </c>
      <c r="N475" s="9" t="inlineStr">
        <is>
          <t>Hommes</t>
        </is>
      </c>
      <c r="O475" s="9" t="inlineStr">
        <is>
          <t>Officiel</t>
        </is>
      </c>
      <c r="P475" s="9" t="inlineStr">
        <is>
          <t>Oui</t>
        </is>
      </c>
      <c r="Q475" s="9" t="inlineStr">
        <is>
          <t>https://www.formula1.com/en/racing/2027</t>
        </is>
      </c>
      <c r="R475" s="10" t="n">
        <v>46311</v>
      </c>
      <c r="S475" s="9" t="inlineStr">
        <is>
          <t>Week-end sprint. Horaires de course non publiés</t>
        </is>
      </c>
      <c r="T475" s="9">
        <f>IF(H475="","",IF(MAX(H475,I475)&lt;TODAY(),"Terminé",IF(H475&lt;=TODAY(),"En cours","À venir")))</f>
        <v/>
      </c>
    </row>
    <row r="476">
      <c r="A476" s="9" t="inlineStr">
        <is>
          <t>F1-2027-004</t>
        </is>
      </c>
      <c r="B476" s="9" t="inlineStr">
        <is>
          <t>Sport automobile</t>
        </is>
      </c>
      <c r="C476" s="9" t="inlineStr">
        <is>
          <t>Formule 1</t>
        </is>
      </c>
      <c r="D476" s="9" t="inlineStr">
        <is>
          <t>2027</t>
        </is>
      </c>
      <c r="E476" s="9" t="inlineStr">
        <is>
          <t>Championnat du monde</t>
        </is>
      </c>
      <c r="F476" s="9" t="n">
        <v>4</v>
      </c>
      <c r="G476" s="9" t="inlineStr">
        <is>
          <t>Grand Prix du Japon</t>
        </is>
      </c>
      <c r="H476" s="10" t="n">
        <v>46486</v>
      </c>
      <c r="I476" s="10" t="n">
        <v>46488</v>
      </c>
      <c r="J476" s="11" t="n"/>
      <c r="K476" s="9" t="inlineStr">
        <is>
          <t>Europe/Paris</t>
        </is>
      </c>
      <c r="L476" s="9" t="inlineStr">
        <is>
          <t>Suzuka International Racing Course, Suzuka</t>
        </is>
      </c>
      <c r="M476" s="9" t="inlineStr">
        <is>
          <t>Japon</t>
        </is>
      </c>
      <c r="N476" s="9" t="inlineStr">
        <is>
          <t>Hommes</t>
        </is>
      </c>
      <c r="O476" s="9" t="inlineStr">
        <is>
          <t>Officiel</t>
        </is>
      </c>
      <c r="P476" s="9" t="inlineStr">
        <is>
          <t>Oui</t>
        </is>
      </c>
      <c r="Q476" s="9" t="inlineStr">
        <is>
          <t>https://www.formula1.com/en/racing/2027</t>
        </is>
      </c>
      <c r="R476" s="10" t="n">
        <v>46311</v>
      </c>
      <c r="S476" s="9" t="inlineStr">
        <is>
          <t>Week-end sprint. Horaires de course non publiés</t>
        </is>
      </c>
      <c r="T476" s="9">
        <f>IF(H476="","",IF(MAX(H476,I476)&lt;TODAY(),"Terminé",IF(H476&lt;=TODAY(),"En cours","À venir")))</f>
        <v/>
      </c>
    </row>
    <row r="477">
      <c r="A477" s="9" t="inlineStr">
        <is>
          <t>F1-2027-005</t>
        </is>
      </c>
      <c r="B477" s="9" t="inlineStr">
        <is>
          <t>Sport automobile</t>
        </is>
      </c>
      <c r="C477" s="9" t="inlineStr">
        <is>
          <t>Formule 1</t>
        </is>
      </c>
      <c r="D477" s="9" t="inlineStr">
        <is>
          <t>2027</t>
        </is>
      </c>
      <c r="E477" s="9" t="inlineStr">
        <is>
          <t>Championnat du monde</t>
        </is>
      </c>
      <c r="F477" s="9" t="n">
        <v>5</v>
      </c>
      <c r="G477" s="9" t="inlineStr">
        <is>
          <t>Grand Prix de Chine</t>
        </is>
      </c>
      <c r="H477" s="10" t="n">
        <v>46493</v>
      </c>
      <c r="I477" s="10" t="n">
        <v>46495</v>
      </c>
      <c r="J477" s="11" t="n"/>
      <c r="K477" s="9" t="inlineStr">
        <is>
          <t>Europe/Paris</t>
        </is>
      </c>
      <c r="L477" s="9" t="inlineStr">
        <is>
          <t>Shanghai International Circuit, Shanghai</t>
        </is>
      </c>
      <c r="M477" s="9" t="inlineStr">
        <is>
          <t>Chine</t>
        </is>
      </c>
      <c r="N477" s="9" t="inlineStr">
        <is>
          <t>Hommes</t>
        </is>
      </c>
      <c r="O477" s="9" t="inlineStr">
        <is>
          <t>Officiel</t>
        </is>
      </c>
      <c r="P477" s="9" t="inlineStr">
        <is>
          <t>Oui</t>
        </is>
      </c>
      <c r="Q477" s="9" t="inlineStr">
        <is>
          <t>https://www.formula1.com/en/racing/2027</t>
        </is>
      </c>
      <c r="R477" s="10" t="n">
        <v>46311</v>
      </c>
      <c r="S477" s="9" t="inlineStr">
        <is>
          <t>Horaires de course non publiés</t>
        </is>
      </c>
      <c r="T477" s="9">
        <f>IF(H477="","",IF(MAX(H477,I477)&lt;TODAY(),"Terminé",IF(H477&lt;=TODAY(),"En cours","À venir")))</f>
        <v/>
      </c>
    </row>
    <row r="478">
      <c r="A478" s="9" t="inlineStr">
        <is>
          <t>F1-2027-006</t>
        </is>
      </c>
      <c r="B478" s="9" t="inlineStr">
        <is>
          <t>Sport automobile</t>
        </is>
      </c>
      <c r="C478" s="9" t="inlineStr">
        <is>
          <t>Formule 1</t>
        </is>
      </c>
      <c r="D478" s="9" t="inlineStr">
        <is>
          <t>2027</t>
        </is>
      </c>
      <c r="E478" s="9" t="inlineStr">
        <is>
          <t>Championnat du monde</t>
        </is>
      </c>
      <c r="F478" s="9" t="n">
        <v>6</v>
      </c>
      <c r="G478" s="9" t="inlineStr">
        <is>
          <t>Grand Prix de Miami</t>
        </is>
      </c>
      <c r="H478" s="10" t="n">
        <v>46507</v>
      </c>
      <c r="I478" s="10" t="n">
        <v>46509</v>
      </c>
      <c r="J478" s="11" t="n"/>
      <c r="K478" s="9" t="inlineStr">
        <is>
          <t>Europe/Paris</t>
        </is>
      </c>
      <c r="L478" s="9" t="inlineStr">
        <is>
          <t>Miami International Autodrome, Miami</t>
        </is>
      </c>
      <c r="M478" s="9" t="inlineStr">
        <is>
          <t>États-Unis</t>
        </is>
      </c>
      <c r="N478" s="9" t="inlineStr">
        <is>
          <t>Hommes</t>
        </is>
      </c>
      <c r="O478" s="9" t="inlineStr">
        <is>
          <t>Officiel</t>
        </is>
      </c>
      <c r="P478" s="9" t="inlineStr">
        <is>
          <t>Oui</t>
        </is>
      </c>
      <c r="Q478" s="9" t="inlineStr">
        <is>
          <t>https://www.formula1.com/en/racing/2027</t>
        </is>
      </c>
      <c r="R478" s="10" t="n">
        <v>46311</v>
      </c>
      <c r="S478" s="9" t="inlineStr">
        <is>
          <t>Horaires de course non publiés</t>
        </is>
      </c>
      <c r="T478" s="9">
        <f>IF(H478="","",IF(MAX(H478,I478)&lt;TODAY(),"Terminé",IF(H478&lt;=TODAY(),"En cours","À venir")))</f>
        <v/>
      </c>
    </row>
    <row r="479">
      <c r="A479" s="9" t="inlineStr">
        <is>
          <t>F1-2027-007</t>
        </is>
      </c>
      <c r="B479" s="9" t="inlineStr">
        <is>
          <t>Sport automobile</t>
        </is>
      </c>
      <c r="C479" s="9" t="inlineStr">
        <is>
          <t>Formule 1</t>
        </is>
      </c>
      <c r="D479" s="9" t="inlineStr">
        <is>
          <t>2027</t>
        </is>
      </c>
      <c r="E479" s="9" t="inlineStr">
        <is>
          <t>Championnat du monde</t>
        </is>
      </c>
      <c r="F479" s="9" t="n">
        <v>7</v>
      </c>
      <c r="G479" s="9" t="inlineStr">
        <is>
          <t>Grand Prix du Canada</t>
        </is>
      </c>
      <c r="H479" s="10" t="n">
        <v>46528</v>
      </c>
      <c r="I479" s="10" t="n">
        <v>46530</v>
      </c>
      <c r="J479" s="11" t="n"/>
      <c r="K479" s="9" t="inlineStr">
        <is>
          <t>Europe/Paris</t>
        </is>
      </c>
      <c r="L479" s="9" t="inlineStr">
        <is>
          <t>Circuit Gilles-Villeneuve, Montréal</t>
        </is>
      </c>
      <c r="M479" s="9" t="inlineStr">
        <is>
          <t>Canada</t>
        </is>
      </c>
      <c r="N479" s="9" t="inlineStr">
        <is>
          <t>Hommes</t>
        </is>
      </c>
      <c r="O479" s="9" t="inlineStr">
        <is>
          <t>Officiel</t>
        </is>
      </c>
      <c r="P479" s="9" t="inlineStr">
        <is>
          <t>Oui</t>
        </is>
      </c>
      <c r="Q479" s="9" t="inlineStr">
        <is>
          <t>https://www.formula1.com/en/racing/2027</t>
        </is>
      </c>
      <c r="R479" s="10" t="n">
        <v>46311</v>
      </c>
      <c r="S479" s="9" t="inlineStr">
        <is>
          <t>Week-end sprint. Horaires de course non publiés</t>
        </is>
      </c>
      <c r="T479" s="9">
        <f>IF(H479="","",IF(MAX(H479,I479)&lt;TODAY(),"Terminé",IF(H479&lt;=TODAY(),"En cours","À venir")))</f>
        <v/>
      </c>
    </row>
    <row r="480">
      <c r="A480" s="9" t="inlineStr">
        <is>
          <t>F1-2027-008</t>
        </is>
      </c>
      <c r="B480" s="9" t="inlineStr">
        <is>
          <t>Sport automobile</t>
        </is>
      </c>
      <c r="C480" s="9" t="inlineStr">
        <is>
          <t>Formule 1</t>
        </is>
      </c>
      <c r="D480" s="9" t="inlineStr">
        <is>
          <t>2027</t>
        </is>
      </c>
      <c r="E480" s="9" t="inlineStr">
        <is>
          <t>Championnat du monde</t>
        </is>
      </c>
      <c r="F480" s="9" t="n">
        <v>8</v>
      </c>
      <c r="G480" s="9" t="inlineStr">
        <is>
          <t>Grand Prix de Monaco</t>
        </is>
      </c>
      <c r="H480" s="10" t="n">
        <v>46542</v>
      </c>
      <c r="I480" s="10" t="n">
        <v>46544</v>
      </c>
      <c r="J480" s="11" t="n"/>
      <c r="K480" s="9" t="inlineStr">
        <is>
          <t>Europe/Paris</t>
        </is>
      </c>
      <c r="L480" s="9" t="inlineStr">
        <is>
          <t>Circuit de Monaco, Monaco</t>
        </is>
      </c>
      <c r="M480" s="9" t="inlineStr">
        <is>
          <t>Monaco</t>
        </is>
      </c>
      <c r="N480" s="9" t="inlineStr">
        <is>
          <t>Hommes</t>
        </is>
      </c>
      <c r="O480" s="9" t="inlineStr">
        <is>
          <t>Officiel</t>
        </is>
      </c>
      <c r="P480" s="9" t="inlineStr">
        <is>
          <t>Oui</t>
        </is>
      </c>
      <c r="Q480" s="9" t="inlineStr">
        <is>
          <t>https://www.formula1.com/en/racing/2027</t>
        </is>
      </c>
      <c r="R480" s="10" t="n">
        <v>46311</v>
      </c>
      <c r="S480" s="9" t="inlineStr">
        <is>
          <t>Week-end sprint. Horaires de course non publiés</t>
        </is>
      </c>
      <c r="T480" s="9">
        <f>IF(H480="","",IF(MAX(H480,I480)&lt;TODAY(),"Terminé",IF(H480&lt;=TODAY(),"En cours","À venir")))</f>
        <v/>
      </c>
    </row>
    <row r="481">
      <c r="A481" s="9" t="inlineStr">
        <is>
          <t>F1-2027-009</t>
        </is>
      </c>
      <c r="B481" s="9" t="inlineStr">
        <is>
          <t>Sport automobile</t>
        </is>
      </c>
      <c r="C481" s="9" t="inlineStr">
        <is>
          <t>Formule 1</t>
        </is>
      </c>
      <c r="D481" s="9" t="inlineStr">
        <is>
          <t>2027</t>
        </is>
      </c>
      <c r="E481" s="9" t="inlineStr">
        <is>
          <t>Championnat du monde</t>
        </is>
      </c>
      <c r="F481" s="9" t="n">
        <v>9</v>
      </c>
      <c r="G481" s="9" t="inlineStr">
        <is>
          <t>Grand Prix du Portugal</t>
        </is>
      </c>
      <c r="H481" s="10" t="n">
        <v>46556</v>
      </c>
      <c r="I481" s="10" t="n">
        <v>46558</v>
      </c>
      <c r="J481" s="11" t="n"/>
      <c r="K481" s="9" t="inlineStr">
        <is>
          <t>Europe/Paris</t>
        </is>
      </c>
      <c r="L481" s="9" t="inlineStr">
        <is>
          <t>Autódromo Internacional do Algarve, Portimão</t>
        </is>
      </c>
      <c r="M481" s="9" t="inlineStr">
        <is>
          <t>Portugal</t>
        </is>
      </c>
      <c r="N481" s="9" t="inlineStr">
        <is>
          <t>Hommes</t>
        </is>
      </c>
      <c r="O481" s="9" t="inlineStr">
        <is>
          <t>Officiel</t>
        </is>
      </c>
      <c r="P481" s="9" t="inlineStr">
        <is>
          <t>Oui</t>
        </is>
      </c>
      <c r="Q481" s="9" t="inlineStr">
        <is>
          <t>https://www.formula1.com/en/racing/2027</t>
        </is>
      </c>
      <c r="R481" s="10" t="n">
        <v>46311</v>
      </c>
      <c r="S481" s="9" t="inlineStr">
        <is>
          <t>Horaires de course non publiés</t>
        </is>
      </c>
      <c r="T481" s="9">
        <f>IF(H481="","",IF(MAX(H481,I481)&lt;TODAY(),"Terminé",IF(H481&lt;=TODAY(),"En cours","À venir")))</f>
        <v/>
      </c>
    </row>
    <row r="482">
      <c r="A482" s="9" t="inlineStr">
        <is>
          <t>F1-2027-010</t>
        </is>
      </c>
      <c r="B482" s="9" t="inlineStr">
        <is>
          <t>Sport automobile</t>
        </is>
      </c>
      <c r="C482" s="9" t="inlineStr">
        <is>
          <t>Formule 1</t>
        </is>
      </c>
      <c r="D482" s="9" t="inlineStr">
        <is>
          <t>2027</t>
        </is>
      </c>
      <c r="E482" s="9" t="inlineStr">
        <is>
          <t>Championnat du monde</t>
        </is>
      </c>
      <c r="F482" s="9" t="n">
        <v>10</v>
      </c>
      <c r="G482" s="9" t="inlineStr">
        <is>
          <t>Grand Prix de Grande-Bretagne</t>
        </is>
      </c>
      <c r="H482" s="10" t="n">
        <v>46570</v>
      </c>
      <c r="I482" s="10" t="n">
        <v>46572</v>
      </c>
      <c r="J482" s="11" t="n"/>
      <c r="K482" s="9" t="inlineStr">
        <is>
          <t>Europe/Paris</t>
        </is>
      </c>
      <c r="L482" s="9" t="inlineStr">
        <is>
          <t>Silverstone Circuit, Silverstone</t>
        </is>
      </c>
      <c r="M482" s="9" t="inlineStr">
        <is>
          <t>Royaume-Uni</t>
        </is>
      </c>
      <c r="N482" s="9" t="inlineStr">
        <is>
          <t>Hommes</t>
        </is>
      </c>
      <c r="O482" s="9" t="inlineStr">
        <is>
          <t>Officiel</t>
        </is>
      </c>
      <c r="P482" s="9" t="inlineStr">
        <is>
          <t>Oui</t>
        </is>
      </c>
      <c r="Q482" s="9" t="inlineStr">
        <is>
          <t>https://www.formula1.com/en/racing/2027</t>
        </is>
      </c>
      <c r="R482" s="10" t="n">
        <v>46311</v>
      </c>
      <c r="S482" s="9" t="inlineStr">
        <is>
          <t>Week-end sprint. Horaires de course non publiés</t>
        </is>
      </c>
      <c r="T482" s="9">
        <f>IF(H482="","",IF(MAX(H482,I482)&lt;TODAY(),"Terminé",IF(H482&lt;=TODAY(),"En cours","À venir")))</f>
        <v/>
      </c>
    </row>
    <row r="483">
      <c r="A483" s="9" t="inlineStr">
        <is>
          <t>F1-2027-011</t>
        </is>
      </c>
      <c r="B483" s="9" t="inlineStr">
        <is>
          <t>Sport automobile</t>
        </is>
      </c>
      <c r="C483" s="9" t="inlineStr">
        <is>
          <t>Formule 1</t>
        </is>
      </c>
      <c r="D483" s="9" t="inlineStr">
        <is>
          <t>2027</t>
        </is>
      </c>
      <c r="E483" s="9" t="inlineStr">
        <is>
          <t>Championnat du monde</t>
        </is>
      </c>
      <c r="F483" s="9" t="n">
        <v>11</v>
      </c>
      <c r="G483" s="9" t="inlineStr">
        <is>
          <t>Grand Prix d'Autriche</t>
        </is>
      </c>
      <c r="H483" s="10" t="n">
        <v>46577</v>
      </c>
      <c r="I483" s="10" t="n">
        <v>46579</v>
      </c>
      <c r="J483" s="11" t="n"/>
      <c r="K483" s="9" t="inlineStr">
        <is>
          <t>Europe/Paris</t>
        </is>
      </c>
      <c r="L483" s="9" t="inlineStr">
        <is>
          <t>Red Bull Ring, Spielberg</t>
        </is>
      </c>
      <c r="M483" s="9" t="inlineStr">
        <is>
          <t>Autriche</t>
        </is>
      </c>
      <c r="N483" s="9" t="inlineStr">
        <is>
          <t>Hommes</t>
        </is>
      </c>
      <c r="O483" s="9" t="inlineStr">
        <is>
          <t>Officiel</t>
        </is>
      </c>
      <c r="P483" s="9" t="inlineStr">
        <is>
          <t>Oui</t>
        </is>
      </c>
      <c r="Q483" s="9" t="inlineStr">
        <is>
          <t>https://www.formula1.com/en/racing/2027</t>
        </is>
      </c>
      <c r="R483" s="10" t="n">
        <v>46311</v>
      </c>
      <c r="S483" s="9" t="inlineStr">
        <is>
          <t>Horaires de course non publiés</t>
        </is>
      </c>
      <c r="T483" s="9">
        <f>IF(H483="","",IF(MAX(H483,I483)&lt;TODAY(),"Terminé",IF(H483&lt;=TODAY(),"En cours","À venir")))</f>
        <v/>
      </c>
    </row>
    <row r="484">
      <c r="A484" s="9" t="inlineStr">
        <is>
          <t>F1-2027-012</t>
        </is>
      </c>
      <c r="B484" s="9" t="inlineStr">
        <is>
          <t>Sport automobile</t>
        </is>
      </c>
      <c r="C484" s="9" t="inlineStr">
        <is>
          <t>Formule 1</t>
        </is>
      </c>
      <c r="D484" s="9" t="inlineStr">
        <is>
          <t>2027</t>
        </is>
      </c>
      <c r="E484" s="9" t="inlineStr">
        <is>
          <t>Championnat du monde</t>
        </is>
      </c>
      <c r="F484" s="9" t="n">
        <v>12</v>
      </c>
      <c r="G484" s="9" t="inlineStr">
        <is>
          <t>Grand Prix de Belgique</t>
        </is>
      </c>
      <c r="H484" s="10" t="n">
        <v>46591</v>
      </c>
      <c r="I484" s="10" t="n">
        <v>46593</v>
      </c>
      <c r="J484" s="11" t="n"/>
      <c r="K484" s="9" t="inlineStr">
        <is>
          <t>Europe/Paris</t>
        </is>
      </c>
      <c r="L484" s="9" t="inlineStr">
        <is>
          <t>Circuit de Spa-Francorchamps, Stavelot</t>
        </is>
      </c>
      <c r="M484" s="9" t="inlineStr">
        <is>
          <t>Belgique</t>
        </is>
      </c>
      <c r="N484" s="9" t="inlineStr">
        <is>
          <t>Hommes</t>
        </is>
      </c>
      <c r="O484" s="9" t="inlineStr">
        <is>
          <t>Officiel</t>
        </is>
      </c>
      <c r="P484" s="9" t="inlineStr">
        <is>
          <t>Oui</t>
        </is>
      </c>
      <c r="Q484" s="9" t="inlineStr">
        <is>
          <t>https://www.formula1.com/en/racing/2027</t>
        </is>
      </c>
      <c r="R484" s="10" t="n">
        <v>46311</v>
      </c>
      <c r="S484" s="9" t="inlineStr">
        <is>
          <t>Horaires de course non publiés</t>
        </is>
      </c>
      <c r="T484" s="9">
        <f>IF(H484="","",IF(MAX(H484,I484)&lt;TODAY(),"Terminé",IF(H484&lt;=TODAY(),"En cours","À venir")))</f>
        <v/>
      </c>
    </row>
    <row r="485">
      <c r="A485" s="9" t="inlineStr">
        <is>
          <t>F1-2027-013</t>
        </is>
      </c>
      <c r="B485" s="9" t="inlineStr">
        <is>
          <t>Sport automobile</t>
        </is>
      </c>
      <c r="C485" s="9" t="inlineStr">
        <is>
          <t>Formule 1</t>
        </is>
      </c>
      <c r="D485" s="9" t="inlineStr">
        <is>
          <t>2027</t>
        </is>
      </c>
      <c r="E485" s="9" t="inlineStr">
        <is>
          <t>Championnat du monde</t>
        </is>
      </c>
      <c r="F485" s="9" t="n">
        <v>13</v>
      </c>
      <c r="G485" s="9" t="inlineStr">
        <is>
          <t>Grand Prix de Hongrie</t>
        </is>
      </c>
      <c r="H485" s="10" t="n">
        <v>46598</v>
      </c>
      <c r="I485" s="10" t="n">
        <v>46600</v>
      </c>
      <c r="J485" s="11" t="n"/>
      <c r="K485" s="9" t="inlineStr">
        <is>
          <t>Europe/Paris</t>
        </is>
      </c>
      <c r="L485" s="9" t="inlineStr">
        <is>
          <t>Hungaroring, Budapest</t>
        </is>
      </c>
      <c r="M485" s="9" t="inlineStr">
        <is>
          <t>Hongrie</t>
        </is>
      </c>
      <c r="N485" s="9" t="inlineStr">
        <is>
          <t>Hommes</t>
        </is>
      </c>
      <c r="O485" s="9" t="inlineStr">
        <is>
          <t>Officiel</t>
        </is>
      </c>
      <c r="P485" s="9" t="inlineStr">
        <is>
          <t>Oui</t>
        </is>
      </c>
      <c r="Q485" s="9" t="inlineStr">
        <is>
          <t>https://www.formula1.com/en/racing/2027</t>
        </is>
      </c>
      <c r="R485" s="10" t="n">
        <v>46311</v>
      </c>
      <c r="S485" s="9" t="inlineStr">
        <is>
          <t>Horaires de course non publiés</t>
        </is>
      </c>
      <c r="T485" s="9">
        <f>IF(H485="","",IF(MAX(H485,I485)&lt;TODAY(),"Terminé",IF(H485&lt;=TODAY(),"En cours","À venir")))</f>
        <v/>
      </c>
    </row>
    <row r="486">
      <c r="A486" s="9" t="inlineStr">
        <is>
          <t>F1-2027-014</t>
        </is>
      </c>
      <c r="B486" s="9" t="inlineStr">
        <is>
          <t>Sport automobile</t>
        </is>
      </c>
      <c r="C486" s="9" t="inlineStr">
        <is>
          <t>Formule 1</t>
        </is>
      </c>
      <c r="D486" s="9" t="inlineStr">
        <is>
          <t>2027</t>
        </is>
      </c>
      <c r="E486" s="9" t="inlineStr">
        <is>
          <t>Championnat du monde</t>
        </is>
      </c>
      <c r="F486" s="9" t="n">
        <v>14</v>
      </c>
      <c r="G486" s="9" t="inlineStr">
        <is>
          <t>Grand Prix d'Italie</t>
        </is>
      </c>
      <c r="H486" s="10" t="n">
        <v>46633</v>
      </c>
      <c r="I486" s="10" t="n">
        <v>46635</v>
      </c>
      <c r="J486" s="11" t="n"/>
      <c r="K486" s="9" t="inlineStr">
        <is>
          <t>Europe/Paris</t>
        </is>
      </c>
      <c r="L486" s="9" t="inlineStr">
        <is>
          <t>Autodromo Nazionale Monza, Monza</t>
        </is>
      </c>
      <c r="M486" s="9" t="inlineStr">
        <is>
          <t>Italie</t>
        </is>
      </c>
      <c r="N486" s="9" t="inlineStr">
        <is>
          <t>Hommes</t>
        </is>
      </c>
      <c r="O486" s="9" t="inlineStr">
        <is>
          <t>Officiel</t>
        </is>
      </c>
      <c r="P486" s="9" t="inlineStr">
        <is>
          <t>Oui</t>
        </is>
      </c>
      <c r="Q486" s="9" t="inlineStr">
        <is>
          <t>https://www.formula1.com/en/racing/2027</t>
        </is>
      </c>
      <c r="R486" s="10" t="n">
        <v>46311</v>
      </c>
      <c r="S486" s="9" t="inlineStr">
        <is>
          <t>Week-end sprint. Horaires de course non publiés</t>
        </is>
      </c>
      <c r="T486" s="9">
        <f>IF(H486="","",IF(MAX(H486,I486)&lt;TODAY(),"Terminé",IF(H486&lt;=TODAY(),"En cours","À venir")))</f>
        <v/>
      </c>
    </row>
    <row r="487">
      <c r="A487" s="9" t="inlineStr">
        <is>
          <t>F1-2027-015</t>
        </is>
      </c>
      <c r="B487" s="9" t="inlineStr">
        <is>
          <t>Sport automobile</t>
        </is>
      </c>
      <c r="C487" s="9" t="inlineStr">
        <is>
          <t>Formule 1</t>
        </is>
      </c>
      <c r="D487" s="9" t="inlineStr">
        <is>
          <t>2027</t>
        </is>
      </c>
      <c r="E487" s="9" t="inlineStr">
        <is>
          <t>Championnat du monde</t>
        </is>
      </c>
      <c r="F487" s="9" t="n">
        <v>15</v>
      </c>
      <c r="G487" s="9" t="inlineStr">
        <is>
          <t>Grand Prix d'Espagne</t>
        </is>
      </c>
      <c r="H487" s="10" t="n">
        <v>46640</v>
      </c>
      <c r="I487" s="10" t="n">
        <v>46642</v>
      </c>
      <c r="J487" s="11" t="n"/>
      <c r="K487" s="9" t="inlineStr">
        <is>
          <t>Europe/Paris</t>
        </is>
      </c>
      <c r="L487" s="9" t="inlineStr">
        <is>
          <t>Madring, Madrid</t>
        </is>
      </c>
      <c r="M487" s="9" t="inlineStr">
        <is>
          <t>Espagne</t>
        </is>
      </c>
      <c r="N487" s="9" t="inlineStr">
        <is>
          <t>Hommes</t>
        </is>
      </c>
      <c r="O487" s="9" t="inlineStr">
        <is>
          <t>Officiel</t>
        </is>
      </c>
      <c r="P487" s="9" t="inlineStr">
        <is>
          <t>Oui</t>
        </is>
      </c>
      <c r="Q487" s="9" t="inlineStr">
        <is>
          <t>https://www.formula1.com/en/racing/2027</t>
        </is>
      </c>
      <c r="R487" s="10" t="n">
        <v>46311</v>
      </c>
      <c r="S487" s="9" t="inlineStr">
        <is>
          <t>Horaires de course non publiés</t>
        </is>
      </c>
      <c r="T487" s="9">
        <f>IF(H487="","",IF(MAX(H487,I487)&lt;TODAY(),"Terminé",IF(H487&lt;=TODAY(),"En cours","À venir")))</f>
        <v/>
      </c>
    </row>
    <row r="488">
      <c r="A488" s="9" t="inlineStr">
        <is>
          <t>F1-2027-016</t>
        </is>
      </c>
      <c r="B488" s="9" t="inlineStr">
        <is>
          <t>Sport automobile</t>
        </is>
      </c>
      <c r="C488" s="9" t="inlineStr">
        <is>
          <t>Formule 1</t>
        </is>
      </c>
      <c r="D488" s="9" t="inlineStr">
        <is>
          <t>2027</t>
        </is>
      </c>
      <c r="E488" s="9" t="inlineStr">
        <is>
          <t>Championnat du monde</t>
        </is>
      </c>
      <c r="F488" s="9" t="n">
        <v>16</v>
      </c>
      <c r="G488" s="9" t="inlineStr">
        <is>
          <t>Grand Prix d'Azerbaïdjan</t>
        </is>
      </c>
      <c r="H488" s="10" t="n">
        <v>46654</v>
      </c>
      <c r="I488" s="10" t="n">
        <v>46656</v>
      </c>
      <c r="J488" s="11" t="n"/>
      <c r="K488" s="9" t="inlineStr">
        <is>
          <t>Europe/Paris</t>
        </is>
      </c>
      <c r="L488" s="9" t="inlineStr">
        <is>
          <t>Baku City Circuit, Bakou</t>
        </is>
      </c>
      <c r="M488" s="9" t="inlineStr">
        <is>
          <t>Azerbaïdjan</t>
        </is>
      </c>
      <c r="N488" s="9" t="inlineStr">
        <is>
          <t>Hommes</t>
        </is>
      </c>
      <c r="O488" s="9" t="inlineStr">
        <is>
          <t>Officiel</t>
        </is>
      </c>
      <c r="P488" s="9" t="inlineStr">
        <is>
          <t>Oui</t>
        </is>
      </c>
      <c r="Q488" s="9" t="inlineStr">
        <is>
          <t>https://www.formula1.com/en/racing/2027</t>
        </is>
      </c>
      <c r="R488" s="10" t="n">
        <v>46311</v>
      </c>
      <c r="S488" s="9" t="inlineStr">
        <is>
          <t>Horaires de course non publiés</t>
        </is>
      </c>
      <c r="T488" s="9">
        <f>IF(H488="","",IF(MAX(H488,I488)&lt;TODAY(),"Terminé",IF(H488&lt;=TODAY(),"En cours","À venir")))</f>
        <v/>
      </c>
    </row>
    <row r="489">
      <c r="A489" s="9" t="inlineStr">
        <is>
          <t>F1-2027-017</t>
        </is>
      </c>
      <c r="B489" s="9" t="inlineStr">
        <is>
          <t>Sport automobile</t>
        </is>
      </c>
      <c r="C489" s="9" t="inlineStr">
        <is>
          <t>Formule 1</t>
        </is>
      </c>
      <c r="D489" s="9" t="inlineStr">
        <is>
          <t>2027</t>
        </is>
      </c>
      <c r="E489" s="9" t="inlineStr">
        <is>
          <t>Championnat du monde</t>
        </is>
      </c>
      <c r="F489" s="9" t="n">
        <v>17</v>
      </c>
      <c r="G489" s="9" t="inlineStr">
        <is>
          <t>Grand Prix de Turquie</t>
        </is>
      </c>
      <c r="H489" s="10" t="n">
        <v>46661</v>
      </c>
      <c r="I489" s="10" t="n">
        <v>46663</v>
      </c>
      <c r="J489" s="11" t="n"/>
      <c r="K489" s="9" t="inlineStr">
        <is>
          <t>Europe/Paris</t>
        </is>
      </c>
      <c r="L489" s="9" t="inlineStr">
        <is>
          <t>Istanbul Park, Istanbul</t>
        </is>
      </c>
      <c r="M489" s="9" t="inlineStr">
        <is>
          <t>Turquie</t>
        </is>
      </c>
      <c r="N489" s="9" t="inlineStr">
        <is>
          <t>Hommes</t>
        </is>
      </c>
      <c r="O489" s="9" t="inlineStr">
        <is>
          <t>Officiel</t>
        </is>
      </c>
      <c r="P489" s="9" t="inlineStr">
        <is>
          <t>Oui</t>
        </is>
      </c>
      <c r="Q489" s="9" t="inlineStr">
        <is>
          <t>https://www.formula1.com/en/racing/2027</t>
        </is>
      </c>
      <c r="R489" s="10" t="n">
        <v>46311</v>
      </c>
      <c r="S489" s="9" t="inlineStr">
        <is>
          <t>Sous réserve d'homologation FIA du circuit. Horaires de course non publiés</t>
        </is>
      </c>
      <c r="T489" s="9">
        <f>IF(H489="","",IF(MAX(H489,I489)&lt;TODAY(),"Terminé",IF(H489&lt;=TODAY(),"En cours","À venir")))</f>
        <v/>
      </c>
    </row>
    <row r="490">
      <c r="A490" s="9" t="inlineStr">
        <is>
          <t>F1-2027-018</t>
        </is>
      </c>
      <c r="B490" s="9" t="inlineStr">
        <is>
          <t>Sport automobile</t>
        </is>
      </c>
      <c r="C490" s="9" t="inlineStr">
        <is>
          <t>Formule 1</t>
        </is>
      </c>
      <c r="D490" s="9" t="inlineStr">
        <is>
          <t>2027</t>
        </is>
      </c>
      <c r="E490" s="9" t="inlineStr">
        <is>
          <t>Championnat du monde</t>
        </is>
      </c>
      <c r="F490" s="9" t="n">
        <v>18</v>
      </c>
      <c r="G490" s="9" t="inlineStr">
        <is>
          <t>Grand Prix de Singapour</t>
        </is>
      </c>
      <c r="H490" s="10" t="n">
        <v>46668</v>
      </c>
      <c r="I490" s="10" t="n">
        <v>46670</v>
      </c>
      <c r="J490" s="11" t="n"/>
      <c r="K490" s="9" t="inlineStr">
        <is>
          <t>Europe/Paris</t>
        </is>
      </c>
      <c r="L490" s="9" t="inlineStr">
        <is>
          <t>Marina Bay Street Circuit, Singapour</t>
        </is>
      </c>
      <c r="M490" s="9" t="inlineStr">
        <is>
          <t>Singapour</t>
        </is>
      </c>
      <c r="N490" s="9" t="inlineStr">
        <is>
          <t>Hommes</t>
        </is>
      </c>
      <c r="O490" s="9" t="inlineStr">
        <is>
          <t>Officiel</t>
        </is>
      </c>
      <c r="P490" s="9" t="inlineStr">
        <is>
          <t>Oui</t>
        </is>
      </c>
      <c r="Q490" s="9" t="inlineStr">
        <is>
          <t>https://www.formula1.com/en/racing/2027</t>
        </is>
      </c>
      <c r="R490" s="10" t="n">
        <v>46311</v>
      </c>
      <c r="S490" s="9" t="inlineStr">
        <is>
          <t>Horaires de course non publiés</t>
        </is>
      </c>
      <c r="T490" s="9">
        <f>IF(H490="","",IF(MAX(H490,I490)&lt;TODAY(),"Terminé",IF(H490&lt;=TODAY(),"En cours","À venir")))</f>
        <v/>
      </c>
    </row>
    <row r="491">
      <c r="A491" s="9" t="inlineStr">
        <is>
          <t>F1-2027-019</t>
        </is>
      </c>
      <c r="B491" s="9" t="inlineStr">
        <is>
          <t>Sport automobile</t>
        </is>
      </c>
      <c r="C491" s="9" t="inlineStr">
        <is>
          <t>Formule 1</t>
        </is>
      </c>
      <c r="D491" s="9" t="inlineStr">
        <is>
          <t>2027</t>
        </is>
      </c>
      <c r="E491" s="9" t="inlineStr">
        <is>
          <t>Championnat du monde</t>
        </is>
      </c>
      <c r="F491" s="9" t="n">
        <v>19</v>
      </c>
      <c r="G491" s="9" t="inlineStr">
        <is>
          <t>Grand Prix des États-Unis</t>
        </is>
      </c>
      <c r="H491" s="10" t="n">
        <v>46682</v>
      </c>
      <c r="I491" s="10" t="n">
        <v>46684</v>
      </c>
      <c r="J491" s="11" t="n"/>
      <c r="K491" s="9" t="inlineStr">
        <is>
          <t>Europe/Paris</t>
        </is>
      </c>
      <c r="L491" s="9" t="inlineStr">
        <is>
          <t>Circuit of the Americas, Austin</t>
        </is>
      </c>
      <c r="M491" s="9" t="inlineStr">
        <is>
          <t>États-Unis</t>
        </is>
      </c>
      <c r="N491" s="9" t="inlineStr">
        <is>
          <t>Hommes</t>
        </is>
      </c>
      <c r="O491" s="9" t="inlineStr">
        <is>
          <t>Officiel</t>
        </is>
      </c>
      <c r="P491" s="9" t="inlineStr">
        <is>
          <t>Oui</t>
        </is>
      </c>
      <c r="Q491" s="9" t="inlineStr">
        <is>
          <t>https://www.formula1.com/en/racing/2027</t>
        </is>
      </c>
      <c r="R491" s="10" t="n">
        <v>46311</v>
      </c>
      <c r="S491" s="9" t="inlineStr">
        <is>
          <t>Horaires de course non publiés</t>
        </is>
      </c>
      <c r="T491" s="9">
        <f>IF(H491="","",IF(MAX(H491,I491)&lt;TODAY(),"Terminé",IF(H491&lt;=TODAY(),"En cours","À venir")))</f>
        <v/>
      </c>
    </row>
    <row r="492">
      <c r="A492" s="9" t="inlineStr">
        <is>
          <t>F1-2027-020</t>
        </is>
      </c>
      <c r="B492" s="9" t="inlineStr">
        <is>
          <t>Sport automobile</t>
        </is>
      </c>
      <c r="C492" s="9" t="inlineStr">
        <is>
          <t>Formule 1</t>
        </is>
      </c>
      <c r="D492" s="9" t="inlineStr">
        <is>
          <t>2027</t>
        </is>
      </c>
      <c r="E492" s="9" t="inlineStr">
        <is>
          <t>Championnat du monde</t>
        </is>
      </c>
      <c r="F492" s="9" t="n">
        <v>20</v>
      </c>
      <c r="G492" s="9" t="inlineStr">
        <is>
          <t>Grand Prix de Mexico</t>
        </is>
      </c>
      <c r="H492" s="10" t="n">
        <v>46689</v>
      </c>
      <c r="I492" s="10" t="n">
        <v>46691</v>
      </c>
      <c r="J492" s="11" t="n"/>
      <c r="K492" s="9" t="inlineStr">
        <is>
          <t>Europe/Paris</t>
        </is>
      </c>
      <c r="L492" s="9" t="inlineStr">
        <is>
          <t>Autódromo Hermanos Rodríguez, Mexico</t>
        </is>
      </c>
      <c r="M492" s="9" t="inlineStr">
        <is>
          <t>Mexique</t>
        </is>
      </c>
      <c r="N492" s="9" t="inlineStr">
        <is>
          <t>Hommes</t>
        </is>
      </c>
      <c r="O492" s="9" t="inlineStr">
        <is>
          <t>Officiel</t>
        </is>
      </c>
      <c r="P492" s="9" t="inlineStr">
        <is>
          <t>Oui</t>
        </is>
      </c>
      <c r="Q492" s="9" t="inlineStr">
        <is>
          <t>https://www.formula1.com/en/racing/2027</t>
        </is>
      </c>
      <c r="R492" s="10" t="n">
        <v>46311</v>
      </c>
      <c r="S492" s="9" t="inlineStr">
        <is>
          <t>Horaires de course non publiés</t>
        </is>
      </c>
      <c r="T492" s="9">
        <f>IF(H492="","",IF(MAX(H492,I492)&lt;TODAY(),"Terminé",IF(H492&lt;=TODAY(),"En cours","À venir")))</f>
        <v/>
      </c>
    </row>
    <row r="493">
      <c r="A493" s="9" t="inlineStr">
        <is>
          <t>F1-2027-021</t>
        </is>
      </c>
      <c r="B493" s="9" t="inlineStr">
        <is>
          <t>Sport automobile</t>
        </is>
      </c>
      <c r="C493" s="9" t="inlineStr">
        <is>
          <t>Formule 1</t>
        </is>
      </c>
      <c r="D493" s="9" t="inlineStr">
        <is>
          <t>2027</t>
        </is>
      </c>
      <c r="E493" s="9" t="inlineStr">
        <is>
          <t>Championnat du monde</t>
        </is>
      </c>
      <c r="F493" s="9" t="n">
        <v>21</v>
      </c>
      <c r="G493" s="9" t="inlineStr">
        <is>
          <t>Grand Prix de São Paulo</t>
        </is>
      </c>
      <c r="H493" s="10" t="n">
        <v>46696</v>
      </c>
      <c r="I493" s="10" t="n">
        <v>46698</v>
      </c>
      <c r="J493" s="11" t="n"/>
      <c r="K493" s="9" t="inlineStr">
        <is>
          <t>Europe/Paris</t>
        </is>
      </c>
      <c r="L493" s="9" t="inlineStr">
        <is>
          <t>Autódromo José Carlos Pace (Interlagos), São Paulo</t>
        </is>
      </c>
      <c r="M493" s="9" t="inlineStr">
        <is>
          <t>Brésil</t>
        </is>
      </c>
      <c r="N493" s="9" t="inlineStr">
        <is>
          <t>Hommes</t>
        </is>
      </c>
      <c r="O493" s="9" t="inlineStr">
        <is>
          <t>Officiel</t>
        </is>
      </c>
      <c r="P493" s="9" t="inlineStr">
        <is>
          <t>Oui</t>
        </is>
      </c>
      <c r="Q493" s="9" t="inlineStr">
        <is>
          <t>https://www.formula1.com/en/racing/2027</t>
        </is>
      </c>
      <c r="R493" s="10" t="n">
        <v>46311</v>
      </c>
      <c r="S493" s="9" t="inlineStr">
        <is>
          <t>Week-end sprint. Horaires de course non publiés</t>
        </is>
      </c>
      <c r="T493" s="9">
        <f>IF(H493="","",IF(MAX(H493,I493)&lt;TODAY(),"Terminé",IF(H493&lt;=TODAY(),"En cours","À venir")))</f>
        <v/>
      </c>
    </row>
    <row r="494">
      <c r="A494" s="9" t="inlineStr">
        <is>
          <t>F1-2027-022</t>
        </is>
      </c>
      <c r="B494" s="9" t="inlineStr">
        <is>
          <t>Sport automobile</t>
        </is>
      </c>
      <c r="C494" s="9" t="inlineStr">
        <is>
          <t>Formule 1</t>
        </is>
      </c>
      <c r="D494" s="9" t="inlineStr">
        <is>
          <t>2027</t>
        </is>
      </c>
      <c r="E494" s="9" t="inlineStr">
        <is>
          <t>Championnat du monde</t>
        </is>
      </c>
      <c r="F494" s="9" t="n">
        <v>22</v>
      </c>
      <c r="G494" s="9" t="inlineStr">
        <is>
          <t>Grand Prix de Las Vegas</t>
        </is>
      </c>
      <c r="H494" s="10" t="n">
        <v>46709</v>
      </c>
      <c r="I494" s="10" t="n">
        <v>46711</v>
      </c>
      <c r="J494" s="11" t="n"/>
      <c r="K494" s="9" t="inlineStr">
        <is>
          <t>Europe/Paris</t>
        </is>
      </c>
      <c r="L494" s="9" t="inlineStr">
        <is>
          <t>Las Vegas Strip Circuit, Las Vegas</t>
        </is>
      </c>
      <c r="M494" s="9" t="inlineStr">
        <is>
          <t>États-Unis</t>
        </is>
      </c>
      <c r="N494" s="9" t="inlineStr">
        <is>
          <t>Hommes</t>
        </is>
      </c>
      <c r="O494" s="9" t="inlineStr">
        <is>
          <t>Officiel</t>
        </is>
      </c>
      <c r="P494" s="9" t="inlineStr">
        <is>
          <t>Oui</t>
        </is>
      </c>
      <c r="Q494" s="9" t="inlineStr">
        <is>
          <t>https://www.formula1.com/en/racing/2027</t>
        </is>
      </c>
      <c r="R494" s="10" t="n">
        <v>46311</v>
      </c>
      <c r="S494" s="9" t="inlineStr">
        <is>
          <t>Course le samedi soir (heure locale). Horaires de course non publiés</t>
        </is>
      </c>
      <c r="T494" s="9">
        <f>IF(H494="","",IF(MAX(H494,I494)&lt;TODAY(),"Terminé",IF(H494&lt;=TODAY(),"En cours","À venir")))</f>
        <v/>
      </c>
    </row>
    <row r="495">
      <c r="A495" s="9" t="inlineStr">
        <is>
          <t>F1-2027-023</t>
        </is>
      </c>
      <c r="B495" s="9" t="inlineStr">
        <is>
          <t>Sport automobile</t>
        </is>
      </c>
      <c r="C495" s="9" t="inlineStr">
        <is>
          <t>Formule 1</t>
        </is>
      </c>
      <c r="D495" s="9" t="inlineStr">
        <is>
          <t>2027</t>
        </is>
      </c>
      <c r="E495" s="9" t="inlineStr">
        <is>
          <t>Championnat du monde</t>
        </is>
      </c>
      <c r="F495" s="9" t="n">
        <v>23</v>
      </c>
      <c r="G495" s="9" t="inlineStr">
        <is>
          <t>Grand Prix du Qatar</t>
        </is>
      </c>
      <c r="H495" s="10" t="n">
        <v>46724</v>
      </c>
      <c r="I495" s="10" t="n">
        <v>46726</v>
      </c>
      <c r="J495" s="11" t="n"/>
      <c r="K495" s="9" t="inlineStr">
        <is>
          <t>Europe/Paris</t>
        </is>
      </c>
      <c r="L495" s="9" t="inlineStr">
        <is>
          <t>Lusail International Circuit, Lusail</t>
        </is>
      </c>
      <c r="M495" s="9" t="inlineStr">
        <is>
          <t>Qatar</t>
        </is>
      </c>
      <c r="N495" s="9" t="inlineStr">
        <is>
          <t>Hommes</t>
        </is>
      </c>
      <c r="O495" s="9" t="inlineStr">
        <is>
          <t>Officiel</t>
        </is>
      </c>
      <c r="P495" s="9" t="inlineStr">
        <is>
          <t>Oui</t>
        </is>
      </c>
      <c r="Q495" s="9" t="inlineStr">
        <is>
          <t>https://www.formula1.com/en/racing/2027</t>
        </is>
      </c>
      <c r="R495" s="10" t="n">
        <v>46311</v>
      </c>
      <c r="S495" s="9" t="inlineStr">
        <is>
          <t>Week-end sprint. Horaires de course non publiés</t>
        </is>
      </c>
      <c r="T495" s="9">
        <f>IF(H495="","",IF(MAX(H495,I495)&lt;TODAY(),"Terminé",IF(H495&lt;=TODAY(),"En cours","À venir")))</f>
        <v/>
      </c>
    </row>
    <row r="496">
      <c r="A496" s="9" t="inlineStr">
        <is>
          <t>F1-2027-024</t>
        </is>
      </c>
      <c r="B496" s="9" t="inlineStr">
        <is>
          <t>Sport automobile</t>
        </is>
      </c>
      <c r="C496" s="9" t="inlineStr">
        <is>
          <t>Formule 1</t>
        </is>
      </c>
      <c r="D496" s="9" t="inlineStr">
        <is>
          <t>2027</t>
        </is>
      </c>
      <c r="E496" s="9" t="inlineStr">
        <is>
          <t>Championnat du monde</t>
        </is>
      </c>
      <c r="F496" s="9" t="n">
        <v>24</v>
      </c>
      <c r="G496" s="9" t="inlineStr">
        <is>
          <t>Grand Prix d'Abou Dabi</t>
        </is>
      </c>
      <c r="H496" s="10" t="n">
        <v>46731</v>
      </c>
      <c r="I496" s="10" t="n">
        <v>46733</v>
      </c>
      <c r="J496" s="11" t="n"/>
      <c r="K496" s="9" t="inlineStr">
        <is>
          <t>Europe/Paris</t>
        </is>
      </c>
      <c r="L496" s="9" t="inlineStr">
        <is>
          <t>Yas Marina Circuit, Abou Dabi</t>
        </is>
      </c>
      <c r="M496" s="9" t="inlineStr">
        <is>
          <t>Émirats arabes unis</t>
        </is>
      </c>
      <c r="N496" s="9" t="inlineStr">
        <is>
          <t>Hommes</t>
        </is>
      </c>
      <c r="O496" s="9" t="inlineStr">
        <is>
          <t>Officiel</t>
        </is>
      </c>
      <c r="P496" s="9" t="inlineStr">
        <is>
          <t>Oui</t>
        </is>
      </c>
      <c r="Q496" s="9" t="inlineStr">
        <is>
          <t>https://www.formula1.com/en/racing/2027</t>
        </is>
      </c>
      <c r="R496" s="10" t="n">
        <v>46311</v>
      </c>
      <c r="S496" s="9" t="inlineStr">
        <is>
          <t>Week-end sprint. Horaires de course non publiés</t>
        </is>
      </c>
      <c r="T496" s="9">
        <f>IF(H496="","",IF(MAX(H496,I496)&lt;TODAY(),"Terminé",IF(H496&lt;=TODAY(),"En cours","À venir")))</f>
        <v/>
      </c>
    </row>
    <row r="497">
      <c r="A497" s="9" t="inlineStr">
        <is>
          <t>MGP-2026-001</t>
        </is>
      </c>
      <c r="B497" s="9" t="inlineStr">
        <is>
          <t>Moto</t>
        </is>
      </c>
      <c r="C497" s="9" t="inlineStr">
        <is>
          <t>MotoGP</t>
        </is>
      </c>
      <c r="D497" s="9" t="inlineStr">
        <is>
          <t>2026</t>
        </is>
      </c>
      <c r="E497" s="9" t="inlineStr">
        <is>
          <t>Championnat du monde</t>
        </is>
      </c>
      <c r="F497" s="9" t="n">
        <v>16</v>
      </c>
      <c r="G497" s="9" t="inlineStr">
        <is>
          <t>Grand Prix du Japon</t>
        </is>
      </c>
      <c r="H497" s="10" t="n">
        <v>46297</v>
      </c>
      <c r="I497" s="10" t="n">
        <v>46299</v>
      </c>
      <c r="J497" s="11" t="n"/>
      <c r="K497" s="9" t="inlineStr">
        <is>
          <t>Europe/Paris</t>
        </is>
      </c>
      <c r="L497" s="9" t="inlineStr">
        <is>
          <t>Mobility Resort Motegi, Motegi</t>
        </is>
      </c>
      <c r="M497" s="9" t="inlineStr">
        <is>
          <t>Japon</t>
        </is>
      </c>
      <c r="N497" s="9" t="inlineStr">
        <is>
          <t>Hommes</t>
        </is>
      </c>
      <c r="O497" s="9" t="inlineStr">
        <is>
          <t>Officiel</t>
        </is>
      </c>
      <c r="P497" s="9" t="inlineStr">
        <is>
          <t>Oui</t>
        </is>
      </c>
      <c r="Q497" s="9" t="inlineStr">
        <is>
          <t>https://www.motogp.com/en/news/2026/01/01/2026-motogp-calendar-revealed/755478</t>
        </is>
      </c>
      <c r="R497" s="10" t="n">
        <v>46311</v>
      </c>
      <c r="S497" s="9" t="inlineStr">
        <is>
          <t>Course déjà disputée</t>
        </is>
      </c>
      <c r="T497" s="9">
        <f>IF(H497="","",IF(MAX(H497,I497)&lt;TODAY(),"Terminé",IF(H497&lt;=TODAY(),"En cours","À venir")))</f>
        <v/>
      </c>
    </row>
    <row r="498">
      <c r="A498" s="9" t="inlineStr">
        <is>
          <t>MGP-2026-002</t>
        </is>
      </c>
      <c r="B498" s="9" t="inlineStr">
        <is>
          <t>Moto</t>
        </is>
      </c>
      <c r="C498" s="9" t="inlineStr">
        <is>
          <t>MotoGP</t>
        </is>
      </c>
      <c r="D498" s="9" t="inlineStr">
        <is>
          <t>2026</t>
        </is>
      </c>
      <c r="E498" s="9" t="inlineStr">
        <is>
          <t>Championnat du monde</t>
        </is>
      </c>
      <c r="F498" s="9" t="n">
        <v>17</v>
      </c>
      <c r="G498" s="9" t="inlineStr">
        <is>
          <t>Grand Prix d'Indonésie</t>
        </is>
      </c>
      <c r="H498" s="10" t="n">
        <v>46304</v>
      </c>
      <c r="I498" s="10" t="n">
        <v>46306</v>
      </c>
      <c r="J498" s="11" t="n"/>
      <c r="K498" s="9" t="inlineStr">
        <is>
          <t>Europe/Paris</t>
        </is>
      </c>
      <c r="L498" s="9" t="inlineStr">
        <is>
          <t>Pertamina Mandalika Circuit, Lombok</t>
        </is>
      </c>
      <c r="M498" s="9" t="inlineStr">
        <is>
          <t>Indonésie</t>
        </is>
      </c>
      <c r="N498" s="9" t="inlineStr">
        <is>
          <t>Hommes</t>
        </is>
      </c>
      <c r="O498" s="9" t="inlineStr">
        <is>
          <t>Officiel</t>
        </is>
      </c>
      <c r="P498" s="9" t="inlineStr">
        <is>
          <t>Oui</t>
        </is>
      </c>
      <c r="Q498" s="9" t="inlineStr">
        <is>
          <t>https://www.motogp.com/en/news/2026/01/01/2026-motogp-calendar-revealed/755478</t>
        </is>
      </c>
      <c r="R498" s="10" t="n">
        <v>46311</v>
      </c>
      <c r="S498" s="9" t="inlineStr">
        <is>
          <t>Course déjà disputée</t>
        </is>
      </c>
      <c r="T498" s="9">
        <f>IF(H498="","",IF(MAX(H498,I498)&lt;TODAY(),"Terminé",IF(H498&lt;=TODAY(),"En cours","À venir")))</f>
        <v/>
      </c>
    </row>
    <row r="499">
      <c r="A499" s="9" t="inlineStr">
        <is>
          <t>MGP-2026-003</t>
        </is>
      </c>
      <c r="B499" s="9" t="inlineStr">
        <is>
          <t>Moto</t>
        </is>
      </c>
      <c r="C499" s="9" t="inlineStr">
        <is>
          <t>MotoGP</t>
        </is>
      </c>
      <c r="D499" s="9" t="inlineStr">
        <is>
          <t>2026</t>
        </is>
      </c>
      <c r="E499" s="9" t="inlineStr">
        <is>
          <t>Championnat du monde</t>
        </is>
      </c>
      <c r="F499" s="9" t="n">
        <v>18</v>
      </c>
      <c r="G499" s="9" t="inlineStr">
        <is>
          <t>Grand Prix d'Australie</t>
        </is>
      </c>
      <c r="H499" s="10" t="n">
        <v>46318</v>
      </c>
      <c r="I499" s="10" t="n">
        <v>46320</v>
      </c>
      <c r="J499" s="11" t="n"/>
      <c r="K499" s="9" t="inlineStr">
        <is>
          <t>Europe/Paris</t>
        </is>
      </c>
      <c r="L499" s="9" t="inlineStr">
        <is>
          <t>Phillip Island Grand Prix Circuit, Phillip Island</t>
        </is>
      </c>
      <c r="M499" s="9" t="inlineStr">
        <is>
          <t>Australie</t>
        </is>
      </c>
      <c r="N499" s="9" t="inlineStr">
        <is>
          <t>Hommes</t>
        </is>
      </c>
      <c r="O499" s="9" t="inlineStr">
        <is>
          <t>Officiel</t>
        </is>
      </c>
      <c r="P499" s="9" t="inlineStr">
        <is>
          <t>Oui</t>
        </is>
      </c>
      <c r="Q499" s="9" t="inlineStr">
        <is>
          <t>https://www.motogp.com/en/news/2026/01/01/2026-motogp-calendar-revealed/755478</t>
        </is>
      </c>
      <c r="R499" s="10" t="n">
        <v>46311</v>
      </c>
      <c r="S499" s="9" t="inlineStr">
        <is>
          <t>Horaire de course non vérifié (sources divergentes)</t>
        </is>
      </c>
      <c r="T499" s="9">
        <f>IF(H499="","",IF(MAX(H499,I499)&lt;TODAY(),"Terminé",IF(H499&lt;=TODAY(),"En cours","À venir")))</f>
        <v/>
      </c>
    </row>
    <row r="500">
      <c r="A500" s="9" t="inlineStr">
        <is>
          <t>MGP-2026-004</t>
        </is>
      </c>
      <c r="B500" s="9" t="inlineStr">
        <is>
          <t>Moto</t>
        </is>
      </c>
      <c r="C500" s="9" t="inlineStr">
        <is>
          <t>MotoGP</t>
        </is>
      </c>
      <c r="D500" s="9" t="inlineStr">
        <is>
          <t>2026</t>
        </is>
      </c>
      <c r="E500" s="9" t="inlineStr">
        <is>
          <t>Championnat du monde</t>
        </is>
      </c>
      <c r="F500" s="9" t="n">
        <v>19</v>
      </c>
      <c r="G500" s="9" t="inlineStr">
        <is>
          <t>Grand Prix de Malaisie</t>
        </is>
      </c>
      <c r="H500" s="10" t="n">
        <v>46325</v>
      </c>
      <c r="I500" s="10" t="n">
        <v>46327</v>
      </c>
      <c r="J500" s="11" t="n"/>
      <c r="K500" s="9" t="inlineStr">
        <is>
          <t>Europe/Paris</t>
        </is>
      </c>
      <c r="L500" s="9" t="inlineStr">
        <is>
          <t>Sepang International Circuit, Sepang</t>
        </is>
      </c>
      <c r="M500" s="9" t="inlineStr">
        <is>
          <t>Malaisie</t>
        </is>
      </c>
      <c r="N500" s="9" t="inlineStr">
        <is>
          <t>Hommes</t>
        </is>
      </c>
      <c r="O500" s="9" t="inlineStr">
        <is>
          <t>Officiel</t>
        </is>
      </c>
      <c r="P500" s="9" t="inlineStr">
        <is>
          <t>Oui</t>
        </is>
      </c>
      <c r="Q500" s="9" t="inlineStr">
        <is>
          <t>https://www.motogp.com/en/news/2026/01/01/2026-motogp-calendar-revealed/755478</t>
        </is>
      </c>
      <c r="R500" s="10" t="n">
        <v>46311</v>
      </c>
      <c r="S500" s="9" t="inlineStr">
        <is>
          <t>Horaire de course non vérifié</t>
        </is>
      </c>
      <c r="T500" s="9">
        <f>IF(H500="","",IF(MAX(H500,I500)&lt;TODAY(),"Terminé",IF(H500&lt;=TODAY(),"En cours","À venir")))</f>
        <v/>
      </c>
    </row>
    <row r="501">
      <c r="A501" s="9" t="inlineStr">
        <is>
          <t>MGP-2026-005</t>
        </is>
      </c>
      <c r="B501" s="9" t="inlineStr">
        <is>
          <t>Moto</t>
        </is>
      </c>
      <c r="C501" s="9" t="inlineStr">
        <is>
          <t>MotoGP</t>
        </is>
      </c>
      <c r="D501" s="9" t="inlineStr">
        <is>
          <t>2026</t>
        </is>
      </c>
      <c r="E501" s="9" t="inlineStr">
        <is>
          <t>Championnat du monde</t>
        </is>
      </c>
      <c r="F501" s="9" t="n">
        <v>20</v>
      </c>
      <c r="G501" s="9" t="inlineStr">
        <is>
          <t>Grand Prix du Qatar</t>
        </is>
      </c>
      <c r="H501" s="10" t="n">
        <v>46332</v>
      </c>
      <c r="I501" s="10" t="n">
        <v>46334</v>
      </c>
      <c r="J501" s="11" t="n"/>
      <c r="K501" s="9" t="inlineStr">
        <is>
          <t>Europe/Paris</t>
        </is>
      </c>
      <c r="L501" s="9" t="inlineStr">
        <is>
          <t>Lusail International Circuit, Lusail</t>
        </is>
      </c>
      <c r="M501" s="9" t="inlineStr">
        <is>
          <t>Qatar</t>
        </is>
      </c>
      <c r="N501" s="9" t="inlineStr">
        <is>
          <t>Hommes</t>
        </is>
      </c>
      <c r="O501" s="9" t="inlineStr">
        <is>
          <t>Officiel</t>
        </is>
      </c>
      <c r="P501" s="9" t="inlineStr">
        <is>
          <t>Oui</t>
        </is>
      </c>
      <c r="Q501" s="9" t="inlineStr">
        <is>
          <t>https://www.gulf-times.com/article/722436/sport/motogp/qatar-motogp-rescheduled-to-november-6-8</t>
        </is>
      </c>
      <c r="R501" s="10" t="n">
        <v>46311</v>
      </c>
      <c r="S501" s="9" t="inlineStr">
        <is>
          <t>Reporté d'avril (10-12/04) à novembre. Horaire de course non vérifié</t>
        </is>
      </c>
      <c r="T501" s="9">
        <f>IF(H501="","",IF(MAX(H501,I501)&lt;TODAY(),"Terminé",IF(H501&lt;=TODAY(),"En cours","À venir")))</f>
        <v/>
      </c>
    </row>
    <row r="502">
      <c r="A502" s="9" t="inlineStr">
        <is>
          <t>MGP-2026-006</t>
        </is>
      </c>
      <c r="B502" s="9" t="inlineStr">
        <is>
          <t>Moto</t>
        </is>
      </c>
      <c r="C502" s="9" t="inlineStr">
        <is>
          <t>MotoGP</t>
        </is>
      </c>
      <c r="D502" s="9" t="inlineStr">
        <is>
          <t>2026</t>
        </is>
      </c>
      <c r="E502" s="9" t="inlineStr">
        <is>
          <t>Championnat du monde</t>
        </is>
      </c>
      <c r="F502" s="9" t="n">
        <v>21</v>
      </c>
      <c r="G502" s="9" t="inlineStr">
        <is>
          <t>Grand Prix du Portugal</t>
        </is>
      </c>
      <c r="H502" s="10" t="n">
        <v>46346</v>
      </c>
      <c r="I502" s="10" t="n">
        <v>46348</v>
      </c>
      <c r="J502" s="11" t="n"/>
      <c r="K502" s="9" t="inlineStr">
        <is>
          <t>Europe/Paris</t>
        </is>
      </c>
      <c r="L502" s="9" t="inlineStr">
        <is>
          <t>Autódromo Internacional do Algarve, Portimão</t>
        </is>
      </c>
      <c r="M502" s="9" t="inlineStr">
        <is>
          <t>Portugal</t>
        </is>
      </c>
      <c r="N502" s="9" t="inlineStr">
        <is>
          <t>Hommes</t>
        </is>
      </c>
      <c r="O502" s="9" t="inlineStr">
        <is>
          <t>Officiel</t>
        </is>
      </c>
      <c r="P502" s="9" t="inlineStr">
        <is>
          <t>Oui</t>
        </is>
      </c>
      <c r="Q502" s="9" t="inlineStr">
        <is>
          <t>https://www.gulf-times.com/article/722436/sport/motogp/qatar-motogp-rescheduled-to-november-6-8</t>
        </is>
      </c>
      <c r="R502" s="10" t="n">
        <v>46311</v>
      </c>
      <c r="S502" s="9" t="inlineStr">
        <is>
          <t>Décalé d'une semaine suite au report du Qatar. Horaire de course non vérifié</t>
        </is>
      </c>
      <c r="T502" s="9">
        <f>IF(H502="","",IF(MAX(H502,I502)&lt;TODAY(),"Terminé",IF(H502&lt;=TODAY(),"En cours","À venir")))</f>
        <v/>
      </c>
    </row>
    <row r="503">
      <c r="A503" s="9" t="inlineStr">
        <is>
          <t>MGP-2026-007</t>
        </is>
      </c>
      <c r="B503" s="9" t="inlineStr">
        <is>
          <t>Moto</t>
        </is>
      </c>
      <c r="C503" s="9" t="inlineStr">
        <is>
          <t>MotoGP</t>
        </is>
      </c>
      <c r="D503" s="9" t="inlineStr">
        <is>
          <t>2026</t>
        </is>
      </c>
      <c r="E503" s="9" t="inlineStr">
        <is>
          <t>Championnat du monde</t>
        </is>
      </c>
      <c r="F503" s="9" t="n">
        <v>22</v>
      </c>
      <c r="G503" s="9" t="inlineStr">
        <is>
          <t>Grand Prix de Valence</t>
        </is>
      </c>
      <c r="H503" s="10" t="n">
        <v>46353</v>
      </c>
      <c r="I503" s="10" t="n">
        <v>46355</v>
      </c>
      <c r="J503" s="11" t="n"/>
      <c r="K503" s="9" t="inlineStr">
        <is>
          <t>Europe/Paris</t>
        </is>
      </c>
      <c r="L503" s="9" t="inlineStr">
        <is>
          <t>Circuit Ricardo Tormo, Cheste (Valence)</t>
        </is>
      </c>
      <c r="M503" s="9" t="inlineStr">
        <is>
          <t>Espagne</t>
        </is>
      </c>
      <c r="N503" s="9" t="inlineStr">
        <is>
          <t>Hommes</t>
        </is>
      </c>
      <c r="O503" s="9" t="inlineStr">
        <is>
          <t>Officiel</t>
        </is>
      </c>
      <c r="P503" s="9" t="inlineStr">
        <is>
          <t>Oui</t>
        </is>
      </c>
      <c r="Q503" s="9" t="inlineStr">
        <is>
          <t>https://www.gulf-times.com/article/722436/sport/motogp/qatar-motogp-rescheduled-to-november-6-8</t>
        </is>
      </c>
      <c r="R503" s="10" t="n">
        <v>46311</v>
      </c>
      <c r="S503" s="9" t="inlineStr">
        <is>
          <t>Finale de la saison, décalée au 29/11. Horaire de course non vérifié</t>
        </is>
      </c>
      <c r="T503" s="9">
        <f>IF(H503="","",IF(MAX(H503,I503)&lt;TODAY(),"Terminé",IF(H503&lt;=TODAY(),"En cours","À venir")))</f>
        <v/>
      </c>
    </row>
    <row r="504">
      <c r="A504" s="9" t="inlineStr">
        <is>
          <t>MGP-2027-001</t>
        </is>
      </c>
      <c r="B504" s="9" t="inlineStr">
        <is>
          <t>Moto</t>
        </is>
      </c>
      <c r="C504" s="9" t="inlineStr">
        <is>
          <t>MotoGP</t>
        </is>
      </c>
      <c r="D504" s="9" t="inlineStr">
        <is>
          <t>2027</t>
        </is>
      </c>
      <c r="E504" s="9" t="inlineStr">
        <is>
          <t>Championnat du monde</t>
        </is>
      </c>
      <c r="F504" s="9" t="n">
        <v>1</v>
      </c>
      <c r="G504" s="9" t="inlineStr">
        <is>
          <t>Grand Prix de Thaïlande</t>
        </is>
      </c>
      <c r="H504" s="10" t="n">
        <v>46451</v>
      </c>
      <c r="I504" s="10" t="n">
        <v>46453</v>
      </c>
      <c r="J504" s="11" t="n"/>
      <c r="K504" s="9" t="inlineStr">
        <is>
          <t>Europe/Paris</t>
        </is>
      </c>
      <c r="L504" s="9" t="inlineStr">
        <is>
          <t>Chang International Circuit, Buriram</t>
        </is>
      </c>
      <c r="M504" s="9" t="inlineStr">
        <is>
          <t>Thaïlande</t>
        </is>
      </c>
      <c r="N504" s="9" t="inlineStr">
        <is>
          <t>Hommes</t>
        </is>
      </c>
      <c r="O504" s="9" t="inlineStr">
        <is>
          <t>Provisoire</t>
        </is>
      </c>
      <c r="P504" s="9" t="inlineStr">
        <is>
          <t>Oui</t>
        </is>
      </c>
      <c r="Q504" s="9" t="inlineStr">
        <is>
          <t>https://www.motogp.com/en/news/2026/09/25/2027-motogp-calendar-revealed/1092589</t>
        </is>
      </c>
      <c r="R504" s="10" t="n">
        <v>46311</v>
      </c>
      <c r="S504" s="9" t="inlineStr">
        <is>
          <t>Calendrier provisoire FIM du 25/09/2026</t>
        </is>
      </c>
      <c r="T504" s="9">
        <f>IF(H504="","",IF(MAX(H504,I504)&lt;TODAY(),"Terminé",IF(H504&lt;=TODAY(),"En cours","À venir")))</f>
        <v/>
      </c>
    </row>
    <row r="505">
      <c r="A505" s="9" t="inlineStr">
        <is>
          <t>MGP-2027-002</t>
        </is>
      </c>
      <c r="B505" s="9" t="inlineStr">
        <is>
          <t>Moto</t>
        </is>
      </c>
      <c r="C505" s="9" t="inlineStr">
        <is>
          <t>MotoGP</t>
        </is>
      </c>
      <c r="D505" s="9" t="inlineStr">
        <is>
          <t>2027</t>
        </is>
      </c>
      <c r="E505" s="9" t="inlineStr">
        <is>
          <t>Championnat du monde</t>
        </is>
      </c>
      <c r="F505" s="9" t="n">
        <v>2</v>
      </c>
      <c r="G505" s="9" t="inlineStr">
        <is>
          <t>Grand Prix du Qatar</t>
        </is>
      </c>
      <c r="H505" s="10" t="n">
        <v>46458</v>
      </c>
      <c r="I505" s="10" t="n">
        <v>46460</v>
      </c>
      <c r="J505" s="11" t="n"/>
      <c r="K505" s="9" t="inlineStr">
        <is>
          <t>Europe/Paris</t>
        </is>
      </c>
      <c r="L505" s="9" t="inlineStr">
        <is>
          <t>Lusail International Circuit, Lusail</t>
        </is>
      </c>
      <c r="M505" s="9" t="inlineStr">
        <is>
          <t>Qatar</t>
        </is>
      </c>
      <c r="N505" s="9" t="inlineStr">
        <is>
          <t>Hommes</t>
        </is>
      </c>
      <c r="O505" s="9" t="inlineStr">
        <is>
          <t>Provisoire</t>
        </is>
      </c>
      <c r="P505" s="9" t="inlineStr">
        <is>
          <t>Oui</t>
        </is>
      </c>
      <c r="Q505" s="9" t="inlineStr">
        <is>
          <t>https://www.motogp.com/en/news/2026/09/25/2027-motogp-calendar-revealed/1092589</t>
        </is>
      </c>
      <c r="R505" s="10" t="n">
        <v>46311</v>
      </c>
      <c r="S505" s="9" t="inlineStr">
        <is>
          <t>Possible inversion avec l'Indonésie selon le contexte au Moyen-Orient. Calendrier provisoire FIM du 25/09/2026</t>
        </is>
      </c>
      <c r="T505" s="9">
        <f>IF(H505="","",IF(MAX(H505,I505)&lt;TODAY(),"Terminé",IF(H505&lt;=TODAY(),"En cours","À venir")))</f>
        <v/>
      </c>
    </row>
    <row r="506">
      <c r="A506" s="9" t="inlineStr">
        <is>
          <t>MGP-2027-003</t>
        </is>
      </c>
      <c r="B506" s="9" t="inlineStr">
        <is>
          <t>Moto</t>
        </is>
      </c>
      <c r="C506" s="9" t="inlineStr">
        <is>
          <t>MotoGP</t>
        </is>
      </c>
      <c r="D506" s="9" t="inlineStr">
        <is>
          <t>2027</t>
        </is>
      </c>
      <c r="E506" s="9" t="inlineStr">
        <is>
          <t>Championnat du monde</t>
        </is>
      </c>
      <c r="F506" s="9" t="n">
        <v>3</v>
      </c>
      <c r="G506" s="9" t="inlineStr">
        <is>
          <t>Grand Prix du Brésil</t>
        </is>
      </c>
      <c r="H506" s="10" t="n">
        <v>46479</v>
      </c>
      <c r="I506" s="10" t="n">
        <v>46481</v>
      </c>
      <c r="J506" s="11" t="n"/>
      <c r="K506" s="9" t="inlineStr">
        <is>
          <t>Europe/Paris</t>
        </is>
      </c>
      <c r="L506" s="9" t="inlineStr">
        <is>
          <t>Autódromo Ayrton Senna, Goiânia</t>
        </is>
      </c>
      <c r="M506" s="9" t="inlineStr">
        <is>
          <t>Brésil</t>
        </is>
      </c>
      <c r="N506" s="9" t="inlineStr">
        <is>
          <t>Hommes</t>
        </is>
      </c>
      <c r="O506" s="9" t="inlineStr">
        <is>
          <t>Provisoire</t>
        </is>
      </c>
      <c r="P506" s="9" t="inlineStr">
        <is>
          <t>Oui</t>
        </is>
      </c>
      <c r="Q506" s="9" t="inlineStr">
        <is>
          <t>https://www.motogp.com/en/news/2026/09/25/2027-motogp-calendar-revealed/1092589</t>
        </is>
      </c>
      <c r="R506" s="10" t="n">
        <v>46311</v>
      </c>
      <c r="S506" s="9" t="inlineStr">
        <is>
          <t>Calendrier provisoire FIM du 25/09/2026</t>
        </is>
      </c>
      <c r="T506" s="9">
        <f>IF(H506="","",IF(MAX(H506,I506)&lt;TODAY(),"Terminé",IF(H506&lt;=TODAY(),"En cours","À venir")))</f>
        <v/>
      </c>
    </row>
    <row r="507">
      <c r="A507" s="9" t="inlineStr">
        <is>
          <t>MGP-2027-004</t>
        </is>
      </c>
      <c r="B507" s="9" t="inlineStr">
        <is>
          <t>Moto</t>
        </is>
      </c>
      <c r="C507" s="9" t="inlineStr">
        <is>
          <t>MotoGP</t>
        </is>
      </c>
      <c r="D507" s="9" t="inlineStr">
        <is>
          <t>2027</t>
        </is>
      </c>
      <c r="E507" s="9" t="inlineStr">
        <is>
          <t>Championnat du monde</t>
        </is>
      </c>
      <c r="F507" s="9" t="n">
        <v>4</v>
      </c>
      <c r="G507" s="9" t="inlineStr">
        <is>
          <t>Grand Prix d'Argentine</t>
        </is>
      </c>
      <c r="H507" s="10" t="n">
        <v>46486</v>
      </c>
      <c r="I507" s="10" t="n">
        <v>46488</v>
      </c>
      <c r="J507" s="11" t="n"/>
      <c r="K507" s="9" t="inlineStr">
        <is>
          <t>Europe/Paris</t>
        </is>
      </c>
      <c r="L507" s="9" t="inlineStr">
        <is>
          <t>Autódromo Oscar y Juan Gálvez, Buenos Aires</t>
        </is>
      </c>
      <c r="M507" s="9" t="inlineStr">
        <is>
          <t>Argentine</t>
        </is>
      </c>
      <c r="N507" s="9" t="inlineStr">
        <is>
          <t>Hommes</t>
        </is>
      </c>
      <c r="O507" s="9" t="inlineStr">
        <is>
          <t>Provisoire</t>
        </is>
      </c>
      <c r="P507" s="9" t="inlineStr">
        <is>
          <t>Oui</t>
        </is>
      </c>
      <c r="Q507" s="9" t="inlineStr">
        <is>
          <t>https://www.motogp.com/en/news/2026/09/25/2027-motogp-calendar-revealed/1092589</t>
        </is>
      </c>
      <c r="R507" s="10" t="n">
        <v>46311</v>
      </c>
      <c r="S507" s="9" t="inlineStr">
        <is>
          <t>Nouveau lieu, sous réserve d'homologation. Calendrier provisoire FIM du 25/09/2026</t>
        </is>
      </c>
      <c r="T507" s="9">
        <f>IF(H507="","",IF(MAX(H507,I507)&lt;TODAY(),"Terminé",IF(H507&lt;=TODAY(),"En cours","À venir")))</f>
        <v/>
      </c>
    </row>
    <row r="508">
      <c r="A508" s="9" t="inlineStr">
        <is>
          <t>MGP-2027-005</t>
        </is>
      </c>
      <c r="B508" s="9" t="inlineStr">
        <is>
          <t>Moto</t>
        </is>
      </c>
      <c r="C508" s="9" t="inlineStr">
        <is>
          <t>MotoGP</t>
        </is>
      </c>
      <c r="D508" s="9" t="inlineStr">
        <is>
          <t>2027</t>
        </is>
      </c>
      <c r="E508" s="9" t="inlineStr">
        <is>
          <t>Championnat du monde</t>
        </is>
      </c>
      <c r="F508" s="9" t="n">
        <v>5</v>
      </c>
      <c r="G508" s="9" t="inlineStr">
        <is>
          <t>Grand Prix des Amériques</t>
        </is>
      </c>
      <c r="H508" s="10" t="n">
        <v>46500</v>
      </c>
      <c r="I508" s="10" t="n">
        <v>46502</v>
      </c>
      <c r="J508" s="11" t="n"/>
      <c r="K508" s="9" t="inlineStr">
        <is>
          <t>Europe/Paris</t>
        </is>
      </c>
      <c r="L508" s="9" t="inlineStr">
        <is>
          <t>Circuit of the Americas, Austin</t>
        </is>
      </c>
      <c r="M508" s="9" t="inlineStr">
        <is>
          <t>États-Unis</t>
        </is>
      </c>
      <c r="N508" s="9" t="inlineStr">
        <is>
          <t>Hommes</t>
        </is>
      </c>
      <c r="O508" s="9" t="inlineStr">
        <is>
          <t>Provisoire</t>
        </is>
      </c>
      <c r="P508" s="9" t="inlineStr">
        <is>
          <t>Oui</t>
        </is>
      </c>
      <c r="Q508" s="9" t="inlineStr">
        <is>
          <t>https://www.motogp.com/en/news/2026/09/25/2027-motogp-calendar-revealed/1092589</t>
        </is>
      </c>
      <c r="R508" s="10" t="n">
        <v>46311</v>
      </c>
      <c r="S508" s="9" t="inlineStr">
        <is>
          <t>Sous réserve de contrat. Calendrier provisoire FIM du 25/09/2026</t>
        </is>
      </c>
      <c r="T508" s="9">
        <f>IF(H508="","",IF(MAX(H508,I508)&lt;TODAY(),"Terminé",IF(H508&lt;=TODAY(),"En cours","À venir")))</f>
        <v/>
      </c>
    </row>
    <row r="509">
      <c r="A509" s="9" t="inlineStr">
        <is>
          <t>MGP-2027-006</t>
        </is>
      </c>
      <c r="B509" s="9" t="inlineStr">
        <is>
          <t>Moto</t>
        </is>
      </c>
      <c r="C509" s="9" t="inlineStr">
        <is>
          <t>MotoGP</t>
        </is>
      </c>
      <c r="D509" s="9" t="inlineStr">
        <is>
          <t>2027</t>
        </is>
      </c>
      <c r="E509" s="9" t="inlineStr">
        <is>
          <t>Championnat du monde</t>
        </is>
      </c>
      <c r="F509" s="9" t="n">
        <v>6</v>
      </c>
      <c r="G509" s="9" t="inlineStr">
        <is>
          <t>Grand Prix d'Espagne</t>
        </is>
      </c>
      <c r="H509" s="10" t="n">
        <v>46514</v>
      </c>
      <c r="I509" s="10" t="n">
        <v>46516</v>
      </c>
      <c r="J509" s="11" t="n"/>
      <c r="K509" s="9" t="inlineStr">
        <is>
          <t>Europe/Paris</t>
        </is>
      </c>
      <c r="L509" s="9" t="inlineStr">
        <is>
          <t>Circuito de Jerez-Ángel Nieto, Jerez de la Frontera</t>
        </is>
      </c>
      <c r="M509" s="9" t="inlineStr">
        <is>
          <t>Espagne</t>
        </is>
      </c>
      <c r="N509" s="9" t="inlineStr">
        <is>
          <t>Hommes</t>
        </is>
      </c>
      <c r="O509" s="9" t="inlineStr">
        <is>
          <t>Provisoire</t>
        </is>
      </c>
      <c r="P509" s="9" t="inlineStr">
        <is>
          <t>Oui</t>
        </is>
      </c>
      <c r="Q509" s="9" t="inlineStr">
        <is>
          <t>https://www.motogp.com/en/news/2026/09/25/2027-motogp-calendar-revealed/1092589</t>
        </is>
      </c>
      <c r="R509" s="10" t="n">
        <v>46311</v>
      </c>
      <c r="S509" s="9" t="inlineStr">
        <is>
          <t>Calendrier provisoire FIM du 25/09/2026</t>
        </is>
      </c>
      <c r="T509" s="9">
        <f>IF(H509="","",IF(MAX(H509,I509)&lt;TODAY(),"Terminé",IF(H509&lt;=TODAY(),"En cours","À venir")))</f>
        <v/>
      </c>
    </row>
    <row r="510">
      <c r="A510" s="9" t="inlineStr">
        <is>
          <t>MGP-2027-007</t>
        </is>
      </c>
      <c r="B510" s="9" t="inlineStr">
        <is>
          <t>Moto</t>
        </is>
      </c>
      <c r="C510" s="9" t="inlineStr">
        <is>
          <t>MotoGP</t>
        </is>
      </c>
      <c r="D510" s="9" t="inlineStr">
        <is>
          <t>2027</t>
        </is>
      </c>
      <c r="E510" s="9" t="inlineStr">
        <is>
          <t>Championnat du monde</t>
        </is>
      </c>
      <c r="F510" s="9" t="n">
        <v>7</v>
      </c>
      <c r="G510" s="9" t="inlineStr">
        <is>
          <t>Grand Prix de France</t>
        </is>
      </c>
      <c r="H510" s="10" t="n">
        <v>46521</v>
      </c>
      <c r="I510" s="10" t="n">
        <v>46523</v>
      </c>
      <c r="J510" s="11" t="n"/>
      <c r="K510" s="9" t="inlineStr">
        <is>
          <t>Europe/Paris</t>
        </is>
      </c>
      <c r="L510" s="9" t="inlineStr">
        <is>
          <t>Circuit Bugatti, Le Mans</t>
        </is>
      </c>
      <c r="M510" s="9" t="inlineStr">
        <is>
          <t>France</t>
        </is>
      </c>
      <c r="N510" s="9" t="inlineStr">
        <is>
          <t>Hommes</t>
        </is>
      </c>
      <c r="O510" s="9" t="inlineStr">
        <is>
          <t>Provisoire</t>
        </is>
      </c>
      <c r="P510" s="9" t="inlineStr">
        <is>
          <t>Oui</t>
        </is>
      </c>
      <c r="Q510" s="9" t="inlineStr">
        <is>
          <t>https://www.motogp.com/en/news/2026/09/25/2027-motogp-calendar-revealed/1092589</t>
        </is>
      </c>
      <c r="R510" s="10" t="n">
        <v>46311</v>
      </c>
      <c r="S510" s="9" t="inlineStr">
        <is>
          <t>Calendrier provisoire FIM du 25/09/2026</t>
        </is>
      </c>
      <c r="T510" s="9">
        <f>IF(H510="","",IF(MAX(H510,I510)&lt;TODAY(),"Terminé",IF(H510&lt;=TODAY(),"En cours","À venir")))</f>
        <v/>
      </c>
    </row>
    <row r="511">
      <c r="A511" s="9" t="inlineStr">
        <is>
          <t>MGP-2027-008</t>
        </is>
      </c>
      <c r="B511" s="9" t="inlineStr">
        <is>
          <t>Moto</t>
        </is>
      </c>
      <c r="C511" s="9" t="inlineStr">
        <is>
          <t>MotoGP</t>
        </is>
      </c>
      <c r="D511" s="9" t="inlineStr">
        <is>
          <t>2027</t>
        </is>
      </c>
      <c r="E511" s="9" t="inlineStr">
        <is>
          <t>Championnat du monde</t>
        </is>
      </c>
      <c r="F511" s="9" t="n">
        <v>8</v>
      </c>
      <c r="G511" s="9" t="inlineStr">
        <is>
          <t>Grand Prix d'Italie</t>
        </is>
      </c>
      <c r="H511" s="10" t="n">
        <v>46535</v>
      </c>
      <c r="I511" s="10" t="n">
        <v>46537</v>
      </c>
      <c r="J511" s="11" t="n"/>
      <c r="K511" s="9" t="inlineStr">
        <is>
          <t>Europe/Paris</t>
        </is>
      </c>
      <c r="L511" s="9" t="inlineStr">
        <is>
          <t>Autodromo Internazionale del Mugello, Scarperia</t>
        </is>
      </c>
      <c r="M511" s="9" t="inlineStr">
        <is>
          <t>Italie</t>
        </is>
      </c>
      <c r="N511" s="9" t="inlineStr">
        <is>
          <t>Hommes</t>
        </is>
      </c>
      <c r="O511" s="9" t="inlineStr">
        <is>
          <t>Provisoire</t>
        </is>
      </c>
      <c r="P511" s="9" t="inlineStr">
        <is>
          <t>Oui</t>
        </is>
      </c>
      <c r="Q511" s="9" t="inlineStr">
        <is>
          <t>https://www.motogp.com/en/news/2026/09/25/2027-motogp-calendar-revealed/1092589</t>
        </is>
      </c>
      <c r="R511" s="10" t="n">
        <v>46311</v>
      </c>
      <c r="S511" s="9" t="inlineStr">
        <is>
          <t>Calendrier provisoire FIM du 25/09/2026</t>
        </is>
      </c>
      <c r="T511" s="9">
        <f>IF(H511="","",IF(MAX(H511,I511)&lt;TODAY(),"Terminé",IF(H511&lt;=TODAY(),"En cours","À venir")))</f>
        <v/>
      </c>
    </row>
    <row r="512">
      <c r="A512" s="9" t="inlineStr">
        <is>
          <t>MGP-2027-009</t>
        </is>
      </c>
      <c r="B512" s="9" t="inlineStr">
        <is>
          <t>Moto</t>
        </is>
      </c>
      <c r="C512" s="9" t="inlineStr">
        <is>
          <t>MotoGP</t>
        </is>
      </c>
      <c r="D512" s="9" t="inlineStr">
        <is>
          <t>2027</t>
        </is>
      </c>
      <c r="E512" s="9" t="inlineStr">
        <is>
          <t>Championnat du monde</t>
        </is>
      </c>
      <c r="F512" s="9" t="n">
        <v>9</v>
      </c>
      <c r="G512" s="9" t="inlineStr">
        <is>
          <t>Grand Prix de Catalogne</t>
        </is>
      </c>
      <c r="H512" s="10" t="n">
        <v>46549</v>
      </c>
      <c r="I512" s="10" t="n">
        <v>46551</v>
      </c>
      <c r="J512" s="11" t="n"/>
      <c r="K512" s="9" t="inlineStr">
        <is>
          <t>Europe/Paris</t>
        </is>
      </c>
      <c r="L512" s="9" t="inlineStr">
        <is>
          <t>Circuit de Barcelona-Catalunya, Montmeló</t>
        </is>
      </c>
      <c r="M512" s="9" t="inlineStr">
        <is>
          <t>Espagne</t>
        </is>
      </c>
      <c r="N512" s="9" t="inlineStr">
        <is>
          <t>Hommes</t>
        </is>
      </c>
      <c r="O512" s="9" t="inlineStr">
        <is>
          <t>Provisoire</t>
        </is>
      </c>
      <c r="P512" s="9" t="inlineStr">
        <is>
          <t>Oui</t>
        </is>
      </c>
      <c r="Q512" s="9" t="inlineStr">
        <is>
          <t>https://www.motogp.com/en/news/2026/09/25/2027-motogp-calendar-revealed/1092589</t>
        </is>
      </c>
      <c r="R512" s="10" t="n">
        <v>46311</v>
      </c>
      <c r="S512" s="9" t="inlineStr">
        <is>
          <t>Calendrier provisoire FIM du 25/09/2026</t>
        </is>
      </c>
      <c r="T512" s="9">
        <f>IF(H512="","",IF(MAX(H512,I512)&lt;TODAY(),"Terminé",IF(H512&lt;=TODAY(),"En cours","À venir")))</f>
        <v/>
      </c>
    </row>
    <row r="513">
      <c r="A513" s="9" t="inlineStr">
        <is>
          <t>MGP-2027-010</t>
        </is>
      </c>
      <c r="B513" s="9" t="inlineStr">
        <is>
          <t>Moto</t>
        </is>
      </c>
      <c r="C513" s="9" t="inlineStr">
        <is>
          <t>MotoGP</t>
        </is>
      </c>
      <c r="D513" s="9" t="inlineStr">
        <is>
          <t>2027</t>
        </is>
      </c>
      <c r="E513" s="9" t="inlineStr">
        <is>
          <t>Championnat du monde</t>
        </is>
      </c>
      <c r="F513" s="9" t="n">
        <v>10</v>
      </c>
      <c r="G513" s="9" t="inlineStr">
        <is>
          <t>Grand Prix des Pays-Bas</t>
        </is>
      </c>
      <c r="H513" s="10" t="n">
        <v>46563</v>
      </c>
      <c r="I513" s="10" t="n">
        <v>46565</v>
      </c>
      <c r="J513" s="11" t="n"/>
      <c r="K513" s="9" t="inlineStr">
        <is>
          <t>Europe/Paris</t>
        </is>
      </c>
      <c r="L513" s="9" t="inlineStr">
        <is>
          <t>TT Circuit Assen, Assen</t>
        </is>
      </c>
      <c r="M513" s="9" t="inlineStr">
        <is>
          <t>Pays-Bas</t>
        </is>
      </c>
      <c r="N513" s="9" t="inlineStr">
        <is>
          <t>Hommes</t>
        </is>
      </c>
      <c r="O513" s="9" t="inlineStr">
        <is>
          <t>Provisoire</t>
        </is>
      </c>
      <c r="P513" s="9" t="inlineStr">
        <is>
          <t>Oui</t>
        </is>
      </c>
      <c r="Q513" s="9" t="inlineStr">
        <is>
          <t>https://www.motogp.com/en/news/2026/09/25/2027-motogp-calendar-revealed/1092589</t>
        </is>
      </c>
      <c r="R513" s="10" t="n">
        <v>46311</v>
      </c>
      <c r="S513" s="9" t="inlineStr">
        <is>
          <t>Calendrier provisoire FIM du 25/09/2026</t>
        </is>
      </c>
      <c r="T513" s="9">
        <f>IF(H513="","",IF(MAX(H513,I513)&lt;TODAY(),"Terminé",IF(H513&lt;=TODAY(),"En cours","À venir")))</f>
        <v/>
      </c>
    </row>
    <row r="514">
      <c r="A514" s="9" t="inlineStr">
        <is>
          <t>MGP-2027-011</t>
        </is>
      </c>
      <c r="B514" s="9" t="inlineStr">
        <is>
          <t>Moto</t>
        </is>
      </c>
      <c r="C514" s="9" t="inlineStr">
        <is>
          <t>MotoGP</t>
        </is>
      </c>
      <c r="D514" s="9" t="inlineStr">
        <is>
          <t>2027</t>
        </is>
      </c>
      <c r="E514" s="9" t="inlineStr">
        <is>
          <t>Championnat du monde</t>
        </is>
      </c>
      <c r="F514" s="9" t="n">
        <v>11</v>
      </c>
      <c r="G514" s="9" t="inlineStr">
        <is>
          <t>Grand Prix d'Allemagne</t>
        </is>
      </c>
      <c r="H514" s="10" t="n">
        <v>46577</v>
      </c>
      <c r="I514" s="10" t="n">
        <v>46579</v>
      </c>
      <c r="J514" s="11" t="n"/>
      <c r="K514" s="9" t="inlineStr">
        <is>
          <t>Europe/Paris</t>
        </is>
      </c>
      <c r="L514" s="9" t="inlineStr">
        <is>
          <t>Sachsenring, Hohenstein-Ernstthal</t>
        </is>
      </c>
      <c r="M514" s="9" t="inlineStr">
        <is>
          <t>Allemagne</t>
        </is>
      </c>
      <c r="N514" s="9" t="inlineStr">
        <is>
          <t>Hommes</t>
        </is>
      </c>
      <c r="O514" s="9" t="inlineStr">
        <is>
          <t>Provisoire</t>
        </is>
      </c>
      <c r="P514" s="9" t="inlineStr">
        <is>
          <t>Oui</t>
        </is>
      </c>
      <c r="Q514" s="9" t="inlineStr">
        <is>
          <t>https://www.motogp.com/en/news/2026/09/25/2027-motogp-calendar-revealed/1092589</t>
        </is>
      </c>
      <c r="R514" s="10" t="n">
        <v>46311</v>
      </c>
      <c r="S514" s="9" t="inlineStr">
        <is>
          <t>Calendrier provisoire FIM du 25/09/2026</t>
        </is>
      </c>
      <c r="T514" s="9">
        <f>IF(H514="","",IF(MAX(H514,I514)&lt;TODAY(),"Terminé",IF(H514&lt;=TODAY(),"En cours","À venir")))</f>
        <v/>
      </c>
    </row>
    <row r="515">
      <c r="A515" s="9" t="inlineStr">
        <is>
          <t>MGP-2027-012</t>
        </is>
      </c>
      <c r="B515" s="9" t="inlineStr">
        <is>
          <t>Moto</t>
        </is>
      </c>
      <c r="C515" s="9" t="inlineStr">
        <is>
          <t>MotoGP</t>
        </is>
      </c>
      <c r="D515" s="9" t="inlineStr">
        <is>
          <t>2027</t>
        </is>
      </c>
      <c r="E515" s="9" t="inlineStr">
        <is>
          <t>Championnat du monde</t>
        </is>
      </c>
      <c r="F515" s="9" t="n">
        <v>12</v>
      </c>
      <c r="G515" s="9" t="inlineStr">
        <is>
          <t>Grand Prix de République tchèque</t>
        </is>
      </c>
      <c r="H515" s="10" t="n">
        <v>46584</v>
      </c>
      <c r="I515" s="10" t="n">
        <v>46586</v>
      </c>
      <c r="J515" s="11" t="n"/>
      <c r="K515" s="9" t="inlineStr">
        <is>
          <t>Europe/Paris</t>
        </is>
      </c>
      <c r="L515" s="9" t="inlineStr">
        <is>
          <t>Automotodrom Brno, Brno</t>
        </is>
      </c>
      <c r="M515" s="9" t="inlineStr">
        <is>
          <t>République tchèque</t>
        </is>
      </c>
      <c r="N515" s="9" t="inlineStr">
        <is>
          <t>Hommes</t>
        </is>
      </c>
      <c r="O515" s="9" t="inlineStr">
        <is>
          <t>Provisoire</t>
        </is>
      </c>
      <c r="P515" s="9" t="inlineStr">
        <is>
          <t>Oui</t>
        </is>
      </c>
      <c r="Q515" s="9" t="inlineStr">
        <is>
          <t>https://www.motogp.com/en/news/2026/09/25/2027-motogp-calendar-revealed/1092589</t>
        </is>
      </c>
      <c r="R515" s="10" t="n">
        <v>46311</v>
      </c>
      <c r="S515" s="9" t="inlineStr">
        <is>
          <t>Calendrier provisoire FIM du 25/09/2026</t>
        </is>
      </c>
      <c r="T515" s="9">
        <f>IF(H515="","",IF(MAX(H515,I515)&lt;TODAY(),"Terminé",IF(H515&lt;=TODAY(),"En cours","À venir")))</f>
        <v/>
      </c>
    </row>
    <row r="516">
      <c r="A516" s="9" t="inlineStr">
        <is>
          <t>MGP-2027-013</t>
        </is>
      </c>
      <c r="B516" s="9" t="inlineStr">
        <is>
          <t>Moto</t>
        </is>
      </c>
      <c r="C516" s="9" t="inlineStr">
        <is>
          <t>MotoGP</t>
        </is>
      </c>
      <c r="D516" s="9" t="inlineStr">
        <is>
          <t>2027</t>
        </is>
      </c>
      <c r="E516" s="9" t="inlineStr">
        <is>
          <t>Championnat du monde</t>
        </is>
      </c>
      <c r="F516" s="9" t="n">
        <v>13</v>
      </c>
      <c r="G516" s="9" t="inlineStr">
        <is>
          <t>Grand Prix de Grande-Bretagne</t>
        </is>
      </c>
      <c r="H516" s="10" t="n">
        <v>46612</v>
      </c>
      <c r="I516" s="10" t="n">
        <v>46614</v>
      </c>
      <c r="J516" s="11" t="n"/>
      <c r="K516" s="9" t="inlineStr">
        <is>
          <t>Europe/Paris</t>
        </is>
      </c>
      <c r="L516" s="9" t="inlineStr">
        <is>
          <t>Silverstone Circuit, Silverstone</t>
        </is>
      </c>
      <c r="M516" s="9" t="inlineStr">
        <is>
          <t>Royaume-Uni</t>
        </is>
      </c>
      <c r="N516" s="9" t="inlineStr">
        <is>
          <t>Hommes</t>
        </is>
      </c>
      <c r="O516" s="9" t="inlineStr">
        <is>
          <t>Provisoire</t>
        </is>
      </c>
      <c r="P516" s="9" t="inlineStr">
        <is>
          <t>Oui</t>
        </is>
      </c>
      <c r="Q516" s="9" t="inlineStr">
        <is>
          <t>https://www.motogp.com/en/news/2026/09/25/2027-motogp-calendar-revealed/1092589</t>
        </is>
      </c>
      <c r="R516" s="10" t="n">
        <v>46311</v>
      </c>
      <c r="S516" s="9" t="inlineStr">
        <is>
          <t>Calendrier provisoire FIM du 25/09/2026</t>
        </is>
      </c>
      <c r="T516" s="9">
        <f>IF(H516="","",IF(MAX(H516,I516)&lt;TODAY(),"Terminé",IF(H516&lt;=TODAY(),"En cours","À venir")))</f>
        <v/>
      </c>
    </row>
    <row r="517">
      <c r="A517" s="9" t="inlineStr">
        <is>
          <t>MGP-2027-014</t>
        </is>
      </c>
      <c r="B517" s="9" t="inlineStr">
        <is>
          <t>Moto</t>
        </is>
      </c>
      <c r="C517" s="9" t="inlineStr">
        <is>
          <t>MotoGP</t>
        </is>
      </c>
      <c r="D517" s="9" t="inlineStr">
        <is>
          <t>2027</t>
        </is>
      </c>
      <c r="E517" s="9" t="inlineStr">
        <is>
          <t>Championnat du monde</t>
        </is>
      </c>
      <c r="F517" s="9" t="n">
        <v>14</v>
      </c>
      <c r="G517" s="9" t="inlineStr">
        <is>
          <t>Grand Prix d'Autriche</t>
        </is>
      </c>
      <c r="H517" s="10" t="n">
        <v>46626</v>
      </c>
      <c r="I517" s="10" t="n">
        <v>46628</v>
      </c>
      <c r="J517" s="11" t="n"/>
      <c r="K517" s="9" t="inlineStr">
        <is>
          <t>Europe/Paris</t>
        </is>
      </c>
      <c r="L517" s="9" t="inlineStr">
        <is>
          <t>Red Bull Ring, Spielberg</t>
        </is>
      </c>
      <c r="M517" s="9" t="inlineStr">
        <is>
          <t>Autriche</t>
        </is>
      </c>
      <c r="N517" s="9" t="inlineStr">
        <is>
          <t>Hommes</t>
        </is>
      </c>
      <c r="O517" s="9" t="inlineStr">
        <is>
          <t>Provisoire</t>
        </is>
      </c>
      <c r="P517" s="9" t="inlineStr">
        <is>
          <t>Oui</t>
        </is>
      </c>
      <c r="Q517" s="9" t="inlineStr">
        <is>
          <t>https://www.motogp.com/en/news/2026/09/25/2027-motogp-calendar-revealed/1092589</t>
        </is>
      </c>
      <c r="R517" s="10" t="n">
        <v>46311</v>
      </c>
      <c r="S517" s="9" t="inlineStr">
        <is>
          <t>Calendrier provisoire FIM du 25/09/2026</t>
        </is>
      </c>
      <c r="T517" s="9">
        <f>IF(H517="","",IF(MAX(H517,I517)&lt;TODAY(),"Terminé",IF(H517&lt;=TODAY(),"En cours","À venir")))</f>
        <v/>
      </c>
    </row>
    <row r="518">
      <c r="A518" s="9" t="inlineStr">
        <is>
          <t>MGP-2027-015</t>
        </is>
      </c>
      <c r="B518" s="9" t="inlineStr">
        <is>
          <t>Moto</t>
        </is>
      </c>
      <c r="C518" s="9" t="inlineStr">
        <is>
          <t>MotoGP</t>
        </is>
      </c>
      <c r="D518" s="9" t="inlineStr">
        <is>
          <t>2027</t>
        </is>
      </c>
      <c r="E518" s="9" t="inlineStr">
        <is>
          <t>Championnat du monde</t>
        </is>
      </c>
      <c r="F518" s="9" t="n">
        <v>15</v>
      </c>
      <c r="G518" s="9" t="inlineStr">
        <is>
          <t>Grand Prix de Saint-Marin</t>
        </is>
      </c>
      <c r="H518" s="10" t="n">
        <v>46640</v>
      </c>
      <c r="I518" s="10" t="n">
        <v>46642</v>
      </c>
      <c r="J518" s="11" t="n"/>
      <c r="K518" s="9" t="inlineStr">
        <is>
          <t>Europe/Paris</t>
        </is>
      </c>
      <c r="L518" s="9" t="inlineStr">
        <is>
          <t>Misano World Circuit Marco Simoncelli, Misano Adriatico</t>
        </is>
      </c>
      <c r="M518" s="9" t="inlineStr">
        <is>
          <t>Italie</t>
        </is>
      </c>
      <c r="N518" s="9" t="inlineStr">
        <is>
          <t>Hommes</t>
        </is>
      </c>
      <c r="O518" s="9" t="inlineStr">
        <is>
          <t>Provisoire</t>
        </is>
      </c>
      <c r="P518" s="9" t="inlineStr">
        <is>
          <t>Oui</t>
        </is>
      </c>
      <c r="Q518" s="9" t="inlineStr">
        <is>
          <t>https://www.motogp.com/en/news/2026/09/25/2027-motogp-calendar-revealed/1092589</t>
        </is>
      </c>
      <c r="R518" s="10" t="n">
        <v>46311</v>
      </c>
      <c r="S518" s="9" t="inlineStr">
        <is>
          <t>Calendrier provisoire FIM du 25/09/2026</t>
        </is>
      </c>
      <c r="T518" s="9">
        <f>IF(H518="","",IF(MAX(H518,I518)&lt;TODAY(),"Terminé",IF(H518&lt;=TODAY(),"En cours","À venir")))</f>
        <v/>
      </c>
    </row>
    <row r="519">
      <c r="A519" s="9" t="inlineStr">
        <is>
          <t>MGP-2027-016</t>
        </is>
      </c>
      <c r="B519" s="9" t="inlineStr">
        <is>
          <t>Moto</t>
        </is>
      </c>
      <c r="C519" s="9" t="inlineStr">
        <is>
          <t>MotoGP</t>
        </is>
      </c>
      <c r="D519" s="9" t="inlineStr">
        <is>
          <t>2027</t>
        </is>
      </c>
      <c r="E519" s="9" t="inlineStr">
        <is>
          <t>Championnat du monde</t>
        </is>
      </c>
      <c r="F519" s="9" t="n">
        <v>16</v>
      </c>
      <c r="G519" s="9" t="inlineStr">
        <is>
          <t>Grand Prix d'Aragon</t>
        </is>
      </c>
      <c r="H519" s="10" t="n">
        <v>46647</v>
      </c>
      <c r="I519" s="10" t="n">
        <v>46649</v>
      </c>
      <c r="J519" s="11" t="n"/>
      <c r="K519" s="9" t="inlineStr">
        <is>
          <t>Europe/Paris</t>
        </is>
      </c>
      <c r="L519" s="9" t="inlineStr">
        <is>
          <t>MotorLand Aragón, Alcañiz</t>
        </is>
      </c>
      <c r="M519" s="9" t="inlineStr">
        <is>
          <t>Espagne</t>
        </is>
      </c>
      <c r="N519" s="9" t="inlineStr">
        <is>
          <t>Hommes</t>
        </is>
      </c>
      <c r="O519" s="9" t="inlineStr">
        <is>
          <t>Provisoire</t>
        </is>
      </c>
      <c r="P519" s="9" t="inlineStr">
        <is>
          <t>Oui</t>
        </is>
      </c>
      <c r="Q519" s="9" t="inlineStr">
        <is>
          <t>https://www.motogp.com/en/news/2026/09/25/2027-motogp-calendar-revealed/1092589</t>
        </is>
      </c>
      <c r="R519" s="10" t="n">
        <v>46311</v>
      </c>
      <c r="S519" s="9" t="inlineStr">
        <is>
          <t>Calendrier provisoire FIM du 25/09/2026</t>
        </is>
      </c>
      <c r="T519" s="9">
        <f>IF(H519="","",IF(MAX(H519,I519)&lt;TODAY(),"Terminé",IF(H519&lt;=TODAY(),"En cours","À venir")))</f>
        <v/>
      </c>
    </row>
    <row r="520">
      <c r="A520" s="9" t="inlineStr">
        <is>
          <t>MGP-2027-017</t>
        </is>
      </c>
      <c r="B520" s="9" t="inlineStr">
        <is>
          <t>Moto</t>
        </is>
      </c>
      <c r="C520" s="9" t="inlineStr">
        <is>
          <t>MotoGP</t>
        </is>
      </c>
      <c r="D520" s="9" t="inlineStr">
        <is>
          <t>2027</t>
        </is>
      </c>
      <c r="E520" s="9" t="inlineStr">
        <is>
          <t>Championnat du monde</t>
        </is>
      </c>
      <c r="F520" s="9" t="n">
        <v>17</v>
      </c>
      <c r="G520" s="9" t="inlineStr">
        <is>
          <t>Grand Prix du Portugal</t>
        </is>
      </c>
      <c r="H520" s="10" t="n">
        <v>46661</v>
      </c>
      <c r="I520" s="10" t="n">
        <v>46663</v>
      </c>
      <c r="J520" s="11" t="n"/>
      <c r="K520" s="9" t="inlineStr">
        <is>
          <t>Europe/Paris</t>
        </is>
      </c>
      <c r="L520" s="9" t="inlineStr">
        <is>
          <t>Autódromo Internacional do Algarve, Portimão</t>
        </is>
      </c>
      <c r="M520" s="9" t="inlineStr">
        <is>
          <t>Portugal</t>
        </is>
      </c>
      <c r="N520" s="9" t="inlineStr">
        <is>
          <t>Hommes</t>
        </is>
      </c>
      <c r="O520" s="9" t="inlineStr">
        <is>
          <t>Provisoire</t>
        </is>
      </c>
      <c r="P520" s="9" t="inlineStr">
        <is>
          <t>Oui</t>
        </is>
      </c>
      <c r="Q520" s="9" t="inlineStr">
        <is>
          <t>https://www.motogp.com/en/news/2026/09/25/2027-motogp-calendar-revealed/1092589</t>
        </is>
      </c>
      <c r="R520" s="10" t="n">
        <v>46311</v>
      </c>
      <c r="S520" s="9" t="inlineStr">
        <is>
          <t>Calendrier provisoire FIM du 25/09/2026</t>
        </is>
      </c>
      <c r="T520" s="9">
        <f>IF(H520="","",IF(MAX(H520,I520)&lt;TODAY(),"Terminé",IF(H520&lt;=TODAY(),"En cours","À venir")))</f>
        <v/>
      </c>
    </row>
    <row r="521">
      <c r="A521" s="9" t="inlineStr">
        <is>
          <t>MGP-2027-018</t>
        </is>
      </c>
      <c r="B521" s="9" t="inlineStr">
        <is>
          <t>Moto</t>
        </is>
      </c>
      <c r="C521" s="9" t="inlineStr">
        <is>
          <t>MotoGP</t>
        </is>
      </c>
      <c r="D521" s="9" t="inlineStr">
        <is>
          <t>2027</t>
        </is>
      </c>
      <c r="E521" s="9" t="inlineStr">
        <is>
          <t>Championnat du monde</t>
        </is>
      </c>
      <c r="F521" s="9" t="n">
        <v>18</v>
      </c>
      <c r="G521" s="9" t="inlineStr">
        <is>
          <t>Grand Prix du Japon</t>
        </is>
      </c>
      <c r="H521" s="10" t="n">
        <v>46675</v>
      </c>
      <c r="I521" s="10" t="n">
        <v>46677</v>
      </c>
      <c r="J521" s="11" t="n"/>
      <c r="K521" s="9" t="inlineStr">
        <is>
          <t>Europe/Paris</t>
        </is>
      </c>
      <c r="L521" s="9" t="inlineStr">
        <is>
          <t>Mobility Resort Motegi, Motegi</t>
        </is>
      </c>
      <c r="M521" s="9" t="inlineStr">
        <is>
          <t>Japon</t>
        </is>
      </c>
      <c r="N521" s="9" t="inlineStr">
        <is>
          <t>Hommes</t>
        </is>
      </c>
      <c r="O521" s="9" t="inlineStr">
        <is>
          <t>Provisoire</t>
        </is>
      </c>
      <c r="P521" s="9" t="inlineStr">
        <is>
          <t>Oui</t>
        </is>
      </c>
      <c r="Q521" s="9" t="inlineStr">
        <is>
          <t>https://www.motogp.com/en/news/2026/09/25/2027-motogp-calendar-revealed/1092589</t>
        </is>
      </c>
      <c r="R521" s="10" t="n">
        <v>46311</v>
      </c>
      <c r="S521" s="9" t="inlineStr">
        <is>
          <t>Calendrier provisoire FIM du 25/09/2026</t>
        </is>
      </c>
      <c r="T521" s="9">
        <f>IF(H521="","",IF(MAX(H521,I521)&lt;TODAY(),"Terminé",IF(H521&lt;=TODAY(),"En cours","À venir")))</f>
        <v/>
      </c>
    </row>
    <row r="522">
      <c r="A522" s="9" t="inlineStr">
        <is>
          <t>MGP-2027-019</t>
        </is>
      </c>
      <c r="B522" s="9" t="inlineStr">
        <is>
          <t>Moto</t>
        </is>
      </c>
      <c r="C522" s="9" t="inlineStr">
        <is>
          <t>MotoGP</t>
        </is>
      </c>
      <c r="D522" s="9" t="inlineStr">
        <is>
          <t>2027</t>
        </is>
      </c>
      <c r="E522" s="9" t="inlineStr">
        <is>
          <t>Championnat du monde</t>
        </is>
      </c>
      <c r="F522" s="9" t="n">
        <v>19</v>
      </c>
      <c r="G522" s="9" t="inlineStr">
        <is>
          <t>Grand Prix de Malaisie</t>
        </is>
      </c>
      <c r="H522" s="10" t="n">
        <v>46682</v>
      </c>
      <c r="I522" s="10" t="n">
        <v>46684</v>
      </c>
      <c r="J522" s="11" t="n"/>
      <c r="K522" s="9" t="inlineStr">
        <is>
          <t>Europe/Paris</t>
        </is>
      </c>
      <c r="L522" s="9" t="inlineStr">
        <is>
          <t>Sepang International Circuit, Sepang</t>
        </is>
      </c>
      <c r="M522" s="9" t="inlineStr">
        <is>
          <t>Malaisie</t>
        </is>
      </c>
      <c r="N522" s="9" t="inlineStr">
        <is>
          <t>Hommes</t>
        </is>
      </c>
      <c r="O522" s="9" t="inlineStr">
        <is>
          <t>Provisoire</t>
        </is>
      </c>
      <c r="P522" s="9" t="inlineStr">
        <is>
          <t>Oui</t>
        </is>
      </c>
      <c r="Q522" s="9" t="inlineStr">
        <is>
          <t>https://www.motogp.com/en/news/2026/09/25/2027-motogp-calendar-revealed/1092589</t>
        </is>
      </c>
      <c r="R522" s="10" t="n">
        <v>46311</v>
      </c>
      <c r="S522" s="9" t="inlineStr">
        <is>
          <t>Calendrier provisoire FIM du 25/09/2026</t>
        </is>
      </c>
      <c r="T522" s="9">
        <f>IF(H522="","",IF(MAX(H522,I522)&lt;TODAY(),"Terminé",IF(H522&lt;=TODAY(),"En cours","À venir")))</f>
        <v/>
      </c>
    </row>
    <row r="523">
      <c r="A523" s="9" t="inlineStr">
        <is>
          <t>MGP-2027-020</t>
        </is>
      </c>
      <c r="B523" s="9" t="inlineStr">
        <is>
          <t>Moto</t>
        </is>
      </c>
      <c r="C523" s="9" t="inlineStr">
        <is>
          <t>MotoGP</t>
        </is>
      </c>
      <c r="D523" s="9" t="inlineStr">
        <is>
          <t>2027</t>
        </is>
      </c>
      <c r="E523" s="9" t="inlineStr">
        <is>
          <t>Championnat du monde</t>
        </is>
      </c>
      <c r="F523" s="9" t="n">
        <v>20</v>
      </c>
      <c r="G523" s="9" t="inlineStr">
        <is>
          <t>Grand Prix d'Indonésie</t>
        </is>
      </c>
      <c r="H523" s="10" t="n">
        <v>46689</v>
      </c>
      <c r="I523" s="10" t="n">
        <v>46691</v>
      </c>
      <c r="J523" s="11" t="n"/>
      <c r="K523" s="9" t="inlineStr">
        <is>
          <t>Europe/Paris</t>
        </is>
      </c>
      <c r="L523" s="9" t="inlineStr">
        <is>
          <t>Pertamina Mandalika Circuit, Lombok</t>
        </is>
      </c>
      <c r="M523" s="9" t="inlineStr">
        <is>
          <t>Indonésie</t>
        </is>
      </c>
      <c r="N523" s="9" t="inlineStr">
        <is>
          <t>Hommes</t>
        </is>
      </c>
      <c r="O523" s="9" t="inlineStr">
        <is>
          <t>Provisoire</t>
        </is>
      </c>
      <c r="P523" s="9" t="inlineStr">
        <is>
          <t>Oui</t>
        </is>
      </c>
      <c r="Q523" s="9" t="inlineStr">
        <is>
          <t>https://www.motogp.com/en/news/2026/09/25/2027-motogp-calendar-revealed/1092589</t>
        </is>
      </c>
      <c r="R523" s="10" t="n">
        <v>46311</v>
      </c>
      <c r="S523" s="9" t="inlineStr">
        <is>
          <t>Calendrier provisoire FIM du 25/09/2026</t>
        </is>
      </c>
      <c r="T523" s="9">
        <f>IF(H523="","",IF(MAX(H523,I523)&lt;TODAY(),"Terminé",IF(H523&lt;=TODAY(),"En cours","À venir")))</f>
        <v/>
      </c>
    </row>
    <row r="524">
      <c r="A524" s="9" t="inlineStr">
        <is>
          <t>MGP-2027-021</t>
        </is>
      </c>
      <c r="B524" s="9" t="inlineStr">
        <is>
          <t>Moto</t>
        </is>
      </c>
      <c r="C524" s="9" t="inlineStr">
        <is>
          <t>MotoGP</t>
        </is>
      </c>
      <c r="D524" s="9" t="inlineStr">
        <is>
          <t>2027</t>
        </is>
      </c>
      <c r="E524" s="9" t="inlineStr">
        <is>
          <t>Championnat du monde</t>
        </is>
      </c>
      <c r="F524" s="9" t="n">
        <v>21</v>
      </c>
      <c r="G524" s="9" t="inlineStr">
        <is>
          <t>Grand Prix d'Australie</t>
        </is>
      </c>
      <c r="H524" s="10" t="n">
        <v>46703</v>
      </c>
      <c r="I524" s="10" t="n">
        <v>46705</v>
      </c>
      <c r="J524" s="11" t="n"/>
      <c r="K524" s="9" t="inlineStr">
        <is>
          <t>Europe/Paris</t>
        </is>
      </c>
      <c r="L524" s="9" t="inlineStr">
        <is>
          <t>Circuit urbain d'Adélaïde, Adélaïde</t>
        </is>
      </c>
      <c r="M524" s="9" t="inlineStr">
        <is>
          <t>Australie</t>
        </is>
      </c>
      <c r="N524" s="9" t="inlineStr">
        <is>
          <t>Hommes</t>
        </is>
      </c>
      <c r="O524" s="9" t="inlineStr">
        <is>
          <t>Provisoire</t>
        </is>
      </c>
      <c r="P524" s="9" t="inlineStr">
        <is>
          <t>Oui</t>
        </is>
      </c>
      <c r="Q524" s="9" t="inlineStr">
        <is>
          <t>https://www.motogp.com/en/news/2026/09/25/2027-motogp-calendar-revealed/1092589</t>
        </is>
      </c>
      <c r="R524" s="10" t="n">
        <v>46311</v>
      </c>
      <c r="S524" s="9" t="inlineStr">
        <is>
          <t>Nouveau lieu (remplace Phillip Island), sous réserve d'homologation. Calendrier provisoire FIM du 25/09/2026</t>
        </is>
      </c>
      <c r="T524" s="9">
        <f>IF(H524="","",IF(MAX(H524,I524)&lt;TODAY(),"Terminé",IF(H524&lt;=TODAY(),"En cours","À venir")))</f>
        <v/>
      </c>
    </row>
    <row r="525">
      <c r="A525" s="9" t="inlineStr">
        <is>
          <t>MGP-2027-022</t>
        </is>
      </c>
      <c r="B525" s="9" t="inlineStr">
        <is>
          <t>Moto</t>
        </is>
      </c>
      <c r="C525" s="9" t="inlineStr">
        <is>
          <t>MotoGP</t>
        </is>
      </c>
      <c r="D525" s="9" t="inlineStr">
        <is>
          <t>2027</t>
        </is>
      </c>
      <c r="E525" s="9" t="inlineStr">
        <is>
          <t>Championnat du monde</t>
        </is>
      </c>
      <c r="F525" s="9" t="n">
        <v>22</v>
      </c>
      <c r="G525" s="9" t="inlineStr">
        <is>
          <t>Grand Prix de Valence</t>
        </is>
      </c>
      <c r="H525" s="10" t="n">
        <v>46717</v>
      </c>
      <c r="I525" s="10" t="n">
        <v>46719</v>
      </c>
      <c r="J525" s="11" t="n"/>
      <c r="K525" s="9" t="inlineStr">
        <is>
          <t>Europe/Paris</t>
        </is>
      </c>
      <c r="L525" s="9" t="inlineStr">
        <is>
          <t>Circuit Ricardo Tormo, Cheste (Valence)</t>
        </is>
      </c>
      <c r="M525" s="9" t="inlineStr">
        <is>
          <t>Espagne</t>
        </is>
      </c>
      <c r="N525" s="9" t="inlineStr">
        <is>
          <t>Hommes</t>
        </is>
      </c>
      <c r="O525" s="9" t="inlineStr">
        <is>
          <t>Provisoire</t>
        </is>
      </c>
      <c r="P525" s="9" t="inlineStr">
        <is>
          <t>Oui</t>
        </is>
      </c>
      <c r="Q525" s="9" t="inlineStr">
        <is>
          <t>https://www.motogp.com/en/news/2026/09/25/2027-motogp-calendar-revealed/1092589</t>
        </is>
      </c>
      <c r="R525" s="10" t="n">
        <v>46311</v>
      </c>
      <c r="S525" s="9" t="inlineStr">
        <is>
          <t>Finale de la saison. Calendrier provisoire FIM du 25/09/2026</t>
        </is>
      </c>
      <c r="T525" s="9">
        <f>IF(H525="","",IF(MAX(H525,I525)&lt;TODAY(),"Terminé",IF(H525&lt;=TODAY(),"En cours","À venir")))</f>
        <v/>
      </c>
    </row>
    <row r="526">
      <c r="A526" s="9" t="inlineStr">
        <is>
          <t>WRC-2026-001</t>
        </is>
      </c>
      <c r="B526" s="9" t="inlineStr">
        <is>
          <t>Rallye</t>
        </is>
      </c>
      <c r="C526" s="9" t="inlineStr">
        <is>
          <t>WRC</t>
        </is>
      </c>
      <c r="D526" s="9" t="inlineStr">
        <is>
          <t>2026</t>
        </is>
      </c>
      <c r="E526" s="9" t="inlineStr">
        <is>
          <t>Championnat du monde</t>
        </is>
      </c>
      <c r="F526" s="9" t="n">
        <v>13</v>
      </c>
      <c r="G526" s="9" t="inlineStr">
        <is>
          <t>Rallye d'Italie-Sardaigne</t>
        </is>
      </c>
      <c r="H526" s="10" t="n">
        <v>46296</v>
      </c>
      <c r="I526" s="10" t="n">
        <v>46299</v>
      </c>
      <c r="J526" s="11" t="n"/>
      <c r="K526" s="9" t="inlineStr">
        <is>
          <t>Europe/Paris</t>
        </is>
      </c>
      <c r="L526" s="9" t="inlineStr">
        <is>
          <t>Olbia, Sardaigne</t>
        </is>
      </c>
      <c r="M526" s="9" t="inlineStr">
        <is>
          <t>Italie</t>
        </is>
      </c>
      <c r="N526" s="9" t="inlineStr">
        <is>
          <t>Hommes</t>
        </is>
      </c>
      <c r="O526" s="9" t="inlineStr">
        <is>
          <t>Officiel</t>
        </is>
      </c>
      <c r="P526" s="9" t="inlineStr">
        <is>
          <t>Oui</t>
        </is>
      </c>
      <c r="Q526" s="9" t="inlineStr">
        <is>
          <t>https://racer.com/2026/09/17/wrc-cancels-rally-saudi-arabia-will-end-2026-season-in-italy</t>
        </is>
      </c>
      <c r="R526" s="10" t="n">
        <v>46311</v>
      </c>
      <c r="S526" s="9" t="inlineStr">
        <is>
          <t>Rallye déjà disputé. Devenu la finale 2026 après l'annulation de l'Arabie saoudite</t>
        </is>
      </c>
      <c r="T526" s="9">
        <f>IF(H526="","",IF(MAX(H526,I526)&lt;TODAY(),"Terminé",IF(H526&lt;=TODAY(),"En cours","À venir")))</f>
        <v/>
      </c>
    </row>
    <row r="527">
      <c r="A527" s="9" t="inlineStr">
        <is>
          <t>WRC-2026-002</t>
        </is>
      </c>
      <c r="B527" s="9" t="inlineStr">
        <is>
          <t>Rallye</t>
        </is>
      </c>
      <c r="C527" s="9" t="inlineStr">
        <is>
          <t>WRC</t>
        </is>
      </c>
      <c r="D527" s="9" t="inlineStr">
        <is>
          <t>2026</t>
        </is>
      </c>
      <c r="E527" s="9" t="inlineStr">
        <is>
          <t>Championnat du monde</t>
        </is>
      </c>
      <c r="F527" s="9" t="n">
        <v>14</v>
      </c>
      <c r="G527" s="9" t="inlineStr">
        <is>
          <t>Rallye d'Arabie saoudite</t>
        </is>
      </c>
      <c r="H527" s="10" t="n">
        <v>46337</v>
      </c>
      <c r="I527" s="10" t="n">
        <v>46340</v>
      </c>
      <c r="J527" s="11" t="n"/>
      <c r="K527" s="9" t="inlineStr">
        <is>
          <t>Europe/Paris</t>
        </is>
      </c>
      <c r="L527" s="9" t="inlineStr">
        <is>
          <t>Djeddah</t>
        </is>
      </c>
      <c r="M527" s="9" t="inlineStr">
        <is>
          <t>Arabie saoudite</t>
        </is>
      </c>
      <c r="N527" s="9" t="inlineStr">
        <is>
          <t>Hommes</t>
        </is>
      </c>
      <c r="O527" s="9" t="inlineStr">
        <is>
          <t>Annulé</t>
        </is>
      </c>
      <c r="P527" s="9" t="inlineStr">
        <is>
          <t>Oui</t>
        </is>
      </c>
      <c r="Q527" s="9" t="inlineStr">
        <is>
          <t>https://racer.com/2026/09/17/wrc-cancels-rally-saudi-arabia-will-end-2026-season-in-italy</t>
        </is>
      </c>
      <c r="R527" s="10" t="n">
        <v>46311</v>
      </c>
      <c r="S527" s="9" t="inlineStr">
        <is>
          <t>Manche WRC annulée par la FIA (17/09/2026) en raison de l'instabilité régionale</t>
        </is>
      </c>
      <c r="T527" s="9">
        <f>IF(H527="","",IF(MAX(H527,I527)&lt;TODAY(),"Terminé",IF(H527&lt;=TODAY(),"En cours","À venir")))</f>
        <v/>
      </c>
    </row>
    <row r="528">
      <c r="A528" s="9" t="inlineStr">
        <is>
          <t>WRC-2027-001</t>
        </is>
      </c>
      <c r="B528" s="9" t="inlineStr">
        <is>
          <t>Rallye</t>
        </is>
      </c>
      <c r="C528" s="9" t="inlineStr">
        <is>
          <t>WRC</t>
        </is>
      </c>
      <c r="D528" s="9" t="inlineStr">
        <is>
          <t>2027</t>
        </is>
      </c>
      <c r="E528" s="9" t="inlineStr">
        <is>
          <t>Championnat du monde</t>
        </is>
      </c>
      <c r="F528" s="9" t="n">
        <v>1</v>
      </c>
      <c r="G528" s="9" t="inlineStr">
        <is>
          <t>Rallye Monte-Carlo</t>
        </is>
      </c>
      <c r="H528" s="10" t="n">
        <v>46408</v>
      </c>
      <c r="I528" s="10" t="n">
        <v>46411</v>
      </c>
      <c r="J528" s="11" t="n"/>
      <c r="K528" s="9" t="inlineStr">
        <is>
          <t>Europe/Paris</t>
        </is>
      </c>
      <c r="L528" s="9" t="inlineStr">
        <is>
          <t>Monaco / Alpes françaises</t>
        </is>
      </c>
      <c r="M528" s="9" t="inlineStr">
        <is>
          <t>Monaco</t>
        </is>
      </c>
      <c r="N528" s="9" t="inlineStr">
        <is>
          <t>Hommes</t>
        </is>
      </c>
      <c r="O528" s="9" t="inlineStr">
        <is>
          <t>Officiel</t>
        </is>
      </c>
      <c r="P528" s="9" t="inlineStr">
        <is>
          <t>Oui</t>
        </is>
      </c>
      <c r="Q528" s="9" t="inlineStr">
        <is>
          <t>https://www.wrc.com/en/news/wrc-calendar-2027</t>
        </is>
      </c>
      <c r="R528" s="10" t="n">
        <v>46311</v>
      </c>
      <c r="S528" s="9" t="inlineStr">
        <is>
          <t>Calendrier approuvé par le Conseil mondial FIA</t>
        </is>
      </c>
      <c r="T528" s="9">
        <f>IF(H528="","",IF(MAX(H528,I528)&lt;TODAY(),"Terminé",IF(H528&lt;=TODAY(),"En cours","À venir")))</f>
        <v/>
      </c>
    </row>
    <row r="529">
      <c r="A529" s="9" t="inlineStr">
        <is>
          <t>WRC-2027-002</t>
        </is>
      </c>
      <c r="B529" s="9" t="inlineStr">
        <is>
          <t>Rallye</t>
        </is>
      </c>
      <c r="C529" s="9" t="inlineStr">
        <is>
          <t>WRC</t>
        </is>
      </c>
      <c r="D529" s="9" t="inlineStr">
        <is>
          <t>2027</t>
        </is>
      </c>
      <c r="E529" s="9" t="inlineStr">
        <is>
          <t>Championnat du monde</t>
        </is>
      </c>
      <c r="F529" s="9" t="n">
        <v>2</v>
      </c>
      <c r="G529" s="9" t="inlineStr">
        <is>
          <t>Rallye de Suède</t>
        </is>
      </c>
      <c r="H529" s="10" t="n">
        <v>46436</v>
      </c>
      <c r="I529" s="10" t="n">
        <v>46439</v>
      </c>
      <c r="J529" s="11" t="n"/>
      <c r="K529" s="9" t="inlineStr">
        <is>
          <t>Europe/Paris</t>
        </is>
      </c>
      <c r="L529" s="9" t="inlineStr">
        <is>
          <t>Umeå</t>
        </is>
      </c>
      <c r="M529" s="9" t="inlineStr">
        <is>
          <t>Suède</t>
        </is>
      </c>
      <c r="N529" s="9" t="inlineStr">
        <is>
          <t>Hommes</t>
        </is>
      </c>
      <c r="O529" s="9" t="inlineStr">
        <is>
          <t>Officiel</t>
        </is>
      </c>
      <c r="P529" s="9" t="inlineStr">
        <is>
          <t>Oui</t>
        </is>
      </c>
      <c r="Q529" s="9" t="inlineStr">
        <is>
          <t>https://www.wrc.com/en/news/wrc-calendar-2027</t>
        </is>
      </c>
      <c r="R529" s="10" t="n">
        <v>46311</v>
      </c>
      <c r="S529" s="9" t="inlineStr">
        <is>
          <t>Calendrier approuvé par le Conseil mondial FIA</t>
        </is>
      </c>
      <c r="T529" s="9">
        <f>IF(H529="","",IF(MAX(H529,I529)&lt;TODAY(),"Terminé",IF(H529&lt;=TODAY(),"En cours","À venir")))</f>
        <v/>
      </c>
    </row>
    <row r="530">
      <c r="A530" s="9" t="inlineStr">
        <is>
          <t>WRC-2027-003</t>
        </is>
      </c>
      <c r="B530" s="9" t="inlineStr">
        <is>
          <t>Rallye</t>
        </is>
      </c>
      <c r="C530" s="9" t="inlineStr">
        <is>
          <t>WRC</t>
        </is>
      </c>
      <c r="D530" s="9" t="inlineStr">
        <is>
          <t>2027</t>
        </is>
      </c>
      <c r="E530" s="9" t="inlineStr">
        <is>
          <t>Championnat du monde</t>
        </is>
      </c>
      <c r="F530" s="9" t="n">
        <v>3</v>
      </c>
      <c r="G530" s="9" t="inlineStr">
        <is>
          <t>Safari Rally Kenya</t>
        </is>
      </c>
      <c r="H530" s="10" t="n">
        <v>46464</v>
      </c>
      <c r="I530" s="10" t="n">
        <v>46467</v>
      </c>
      <c r="J530" s="11" t="n"/>
      <c r="K530" s="9" t="inlineStr">
        <is>
          <t>Europe/Paris</t>
        </is>
      </c>
      <c r="L530" s="9" t="inlineStr">
        <is>
          <t>Naivasha</t>
        </is>
      </c>
      <c r="M530" s="9" t="inlineStr">
        <is>
          <t>Kenya</t>
        </is>
      </c>
      <c r="N530" s="9" t="inlineStr">
        <is>
          <t>Hommes</t>
        </is>
      </c>
      <c r="O530" s="9" t="inlineStr">
        <is>
          <t>Officiel</t>
        </is>
      </c>
      <c r="P530" s="9" t="inlineStr">
        <is>
          <t>Oui</t>
        </is>
      </c>
      <c r="Q530" s="9" t="inlineStr">
        <is>
          <t>https://www.wrc.com/en/news/wrc-calendar-2027</t>
        </is>
      </c>
      <c r="R530" s="10" t="n">
        <v>46311</v>
      </c>
      <c r="S530" s="9" t="inlineStr">
        <is>
          <t>Calendrier approuvé par le Conseil mondial FIA</t>
        </is>
      </c>
      <c r="T530" s="9">
        <f>IF(H530="","",IF(MAX(H530,I530)&lt;TODAY(),"Terminé",IF(H530&lt;=TODAY(),"En cours","À venir")))</f>
        <v/>
      </c>
    </row>
    <row r="531">
      <c r="A531" s="9" t="inlineStr">
        <is>
          <t>WRC-2027-004</t>
        </is>
      </c>
      <c r="B531" s="9" t="inlineStr">
        <is>
          <t>Rallye</t>
        </is>
      </c>
      <c r="C531" s="9" t="inlineStr">
        <is>
          <t>WRC</t>
        </is>
      </c>
      <c r="D531" s="9" t="inlineStr">
        <is>
          <t>2027</t>
        </is>
      </c>
      <c r="E531" s="9" t="inlineStr">
        <is>
          <t>Championnat du monde</t>
        </is>
      </c>
      <c r="F531" s="9" t="n">
        <v>4</v>
      </c>
      <c r="G531" s="9" t="inlineStr">
        <is>
          <t>Rallye de Croatie</t>
        </is>
      </c>
      <c r="H531" s="10" t="n">
        <v>46485</v>
      </c>
      <c r="I531" s="10" t="n">
        <v>46488</v>
      </c>
      <c r="J531" s="11" t="n"/>
      <c r="K531" s="9" t="inlineStr">
        <is>
          <t>Europe/Paris</t>
        </is>
      </c>
      <c r="L531" s="9" t="n"/>
      <c r="M531" s="9" t="inlineStr">
        <is>
          <t>Croatie</t>
        </is>
      </c>
      <c r="N531" s="9" t="inlineStr">
        <is>
          <t>Hommes</t>
        </is>
      </c>
      <c r="O531" s="9" t="inlineStr">
        <is>
          <t>Officiel</t>
        </is>
      </c>
      <c r="P531" s="9" t="inlineStr">
        <is>
          <t>Oui</t>
        </is>
      </c>
      <c r="Q531" s="9" t="inlineStr">
        <is>
          <t>https://www.wrc.com/en/news/wrc-calendar-2027</t>
        </is>
      </c>
      <c r="R531" s="10" t="n">
        <v>46311</v>
      </c>
      <c r="S531" s="9" t="inlineStr">
        <is>
          <t>Calendrier approuvé par le Conseil mondial FIA</t>
        </is>
      </c>
      <c r="T531" s="9">
        <f>IF(H531="","",IF(MAX(H531,I531)&lt;TODAY(),"Terminé",IF(H531&lt;=TODAY(),"En cours","À venir")))</f>
        <v/>
      </c>
    </row>
    <row r="532">
      <c r="A532" s="9" t="inlineStr">
        <is>
          <t>WRC-2027-005</t>
        </is>
      </c>
      <c r="B532" s="9" t="inlineStr">
        <is>
          <t>Rallye</t>
        </is>
      </c>
      <c r="C532" s="9" t="inlineStr">
        <is>
          <t>WRC</t>
        </is>
      </c>
      <c r="D532" s="9" t="inlineStr">
        <is>
          <t>2027</t>
        </is>
      </c>
      <c r="E532" s="9" t="inlineStr">
        <is>
          <t>Championnat du monde</t>
        </is>
      </c>
      <c r="F532" s="9" t="n">
        <v>5</v>
      </c>
      <c r="G532" s="9" t="inlineStr">
        <is>
          <t>Rallye des îles Canaries</t>
        </is>
      </c>
      <c r="H532" s="10" t="n">
        <v>46513</v>
      </c>
      <c r="I532" s="10" t="n">
        <v>46516</v>
      </c>
      <c r="J532" s="11" t="n"/>
      <c r="K532" s="9" t="inlineStr">
        <is>
          <t>Europe/Paris</t>
        </is>
      </c>
      <c r="L532" s="9" t="inlineStr">
        <is>
          <t>Las Palmas de Gran Canaria</t>
        </is>
      </c>
      <c r="M532" s="9" t="inlineStr">
        <is>
          <t>Espagne</t>
        </is>
      </c>
      <c r="N532" s="9" t="inlineStr">
        <is>
          <t>Hommes</t>
        </is>
      </c>
      <c r="O532" s="9" t="inlineStr">
        <is>
          <t>Officiel</t>
        </is>
      </c>
      <c r="P532" s="9" t="inlineStr">
        <is>
          <t>Oui</t>
        </is>
      </c>
      <c r="Q532" s="9" t="inlineStr">
        <is>
          <t>https://www.wrc.com/en/news/wrc-calendar-2027</t>
        </is>
      </c>
      <c r="R532" s="10" t="n">
        <v>46311</v>
      </c>
      <c r="S532" s="9" t="inlineStr">
        <is>
          <t>Calendrier approuvé par le Conseil mondial FIA</t>
        </is>
      </c>
      <c r="T532" s="9">
        <f>IF(H532="","",IF(MAX(H532,I532)&lt;TODAY(),"Terminé",IF(H532&lt;=TODAY(),"En cours","À venir")))</f>
        <v/>
      </c>
    </row>
    <row r="533">
      <c r="A533" s="9" t="inlineStr">
        <is>
          <t>WRC-2027-006</t>
        </is>
      </c>
      <c r="B533" s="9" t="inlineStr">
        <is>
          <t>Rallye</t>
        </is>
      </c>
      <c r="C533" s="9" t="inlineStr">
        <is>
          <t>WRC</t>
        </is>
      </c>
      <c r="D533" s="9" t="inlineStr">
        <is>
          <t>2027</t>
        </is>
      </c>
      <c r="E533" s="9" t="inlineStr">
        <is>
          <t>Championnat du monde</t>
        </is>
      </c>
      <c r="F533" s="9" t="n">
        <v>6</v>
      </c>
      <c r="G533" s="9" t="inlineStr">
        <is>
          <t>Rallye du Japon</t>
        </is>
      </c>
      <c r="H533" s="10" t="n">
        <v>46541</v>
      </c>
      <c r="I533" s="10" t="n">
        <v>46544</v>
      </c>
      <c r="J533" s="11" t="n"/>
      <c r="K533" s="9" t="inlineStr">
        <is>
          <t>Europe/Paris</t>
        </is>
      </c>
      <c r="L533" s="9" t="inlineStr">
        <is>
          <t>Préfectures d'Aichi et Gifu</t>
        </is>
      </c>
      <c r="M533" s="9" t="inlineStr">
        <is>
          <t>Japon</t>
        </is>
      </c>
      <c r="N533" s="9" t="inlineStr">
        <is>
          <t>Hommes</t>
        </is>
      </c>
      <c r="O533" s="9" t="inlineStr">
        <is>
          <t>Officiel</t>
        </is>
      </c>
      <c r="P533" s="9" t="inlineStr">
        <is>
          <t>Oui</t>
        </is>
      </c>
      <c r="Q533" s="9" t="inlineStr">
        <is>
          <t>https://www.wrc.com/en/news/wrc-calendar-2027</t>
        </is>
      </c>
      <c r="R533" s="10" t="n">
        <v>46311</v>
      </c>
      <c r="S533" s="9" t="inlineStr">
        <is>
          <t>Calendrier approuvé par le Conseil mondial FIA</t>
        </is>
      </c>
      <c r="T533" s="9">
        <f>IF(H533="","",IF(MAX(H533,I533)&lt;TODAY(),"Terminé",IF(H533&lt;=TODAY(),"En cours","À venir")))</f>
        <v/>
      </c>
    </row>
    <row r="534">
      <c r="A534" s="9" t="inlineStr">
        <is>
          <t>WRC-2027-007</t>
        </is>
      </c>
      <c r="B534" s="9" t="inlineStr">
        <is>
          <t>Rallye</t>
        </is>
      </c>
      <c r="C534" s="9" t="inlineStr">
        <is>
          <t>WRC</t>
        </is>
      </c>
      <c r="D534" s="9" t="inlineStr">
        <is>
          <t>2027</t>
        </is>
      </c>
      <c r="E534" s="9" t="inlineStr">
        <is>
          <t>Championnat du monde</t>
        </is>
      </c>
      <c r="F534" s="9" t="n">
        <v>7</v>
      </c>
      <c r="G534" s="9" t="inlineStr">
        <is>
          <t>Rallye de l'Acropole</t>
        </is>
      </c>
      <c r="H534" s="10" t="n">
        <v>46562</v>
      </c>
      <c r="I534" s="10" t="n">
        <v>46565</v>
      </c>
      <c r="J534" s="11" t="n"/>
      <c r="K534" s="9" t="inlineStr">
        <is>
          <t>Europe/Paris</t>
        </is>
      </c>
      <c r="L534" s="9" t="n"/>
      <c r="M534" s="9" t="inlineStr">
        <is>
          <t>Grèce</t>
        </is>
      </c>
      <c r="N534" s="9" t="inlineStr">
        <is>
          <t>Hommes</t>
        </is>
      </c>
      <c r="O534" s="9" t="inlineStr">
        <is>
          <t>Officiel</t>
        </is>
      </c>
      <c r="P534" s="9" t="inlineStr">
        <is>
          <t>Oui</t>
        </is>
      </c>
      <c r="Q534" s="9" t="inlineStr">
        <is>
          <t>https://www.wrc.com/en/news/wrc-calendar-2027</t>
        </is>
      </c>
      <c r="R534" s="10" t="n">
        <v>46311</v>
      </c>
      <c r="S534" s="9" t="inlineStr">
        <is>
          <t>Calendrier approuvé par le Conseil mondial FIA</t>
        </is>
      </c>
      <c r="T534" s="9">
        <f>IF(H534="","",IF(MAX(H534,I534)&lt;TODAY(),"Terminé",IF(H534&lt;=TODAY(),"En cours","À venir")))</f>
        <v/>
      </c>
    </row>
    <row r="535">
      <c r="A535" s="9" t="inlineStr">
        <is>
          <t>WRC-2027-008</t>
        </is>
      </c>
      <c r="B535" s="9" t="inlineStr">
        <is>
          <t>Rallye</t>
        </is>
      </c>
      <c r="C535" s="9" t="inlineStr">
        <is>
          <t>WRC</t>
        </is>
      </c>
      <c r="D535" s="9" t="inlineStr">
        <is>
          <t>2027</t>
        </is>
      </c>
      <c r="E535" s="9" t="inlineStr">
        <is>
          <t>Championnat du monde</t>
        </is>
      </c>
      <c r="F535" s="9" t="n">
        <v>8</v>
      </c>
      <c r="G535" s="9" t="inlineStr">
        <is>
          <t>Rallye d'Italie</t>
        </is>
      </c>
      <c r="H535" s="10" t="n">
        <v>46576</v>
      </c>
      <c r="I535" s="10" t="n">
        <v>46579</v>
      </c>
      <c r="J535" s="11" t="n"/>
      <c r="K535" s="9" t="inlineStr">
        <is>
          <t>Europe/Paris</t>
        </is>
      </c>
      <c r="L535" s="9" t="inlineStr">
        <is>
          <t>Rome</t>
        </is>
      </c>
      <c r="M535" s="9" t="inlineStr">
        <is>
          <t>Italie</t>
        </is>
      </c>
      <c r="N535" s="9" t="inlineStr">
        <is>
          <t>Hommes</t>
        </is>
      </c>
      <c r="O535" s="9" t="inlineStr">
        <is>
          <t>Officiel</t>
        </is>
      </c>
      <c r="P535" s="9" t="inlineStr">
        <is>
          <t>Oui</t>
        </is>
      </c>
      <c r="Q535" s="9" t="inlineStr">
        <is>
          <t>https://www.wrc.com/en/news/wrc-calendar-2027</t>
        </is>
      </c>
      <c r="R535" s="10" t="n">
        <v>46311</v>
      </c>
      <c r="S535" s="9" t="inlineStr">
        <is>
          <t>Nouvelle épreuve sur asphalte basée à Rome. Calendrier approuvé par le Conseil mondial FIA</t>
        </is>
      </c>
      <c r="T535" s="9">
        <f>IF(H535="","",IF(MAX(H535,I535)&lt;TODAY(),"Terminé",IF(H535&lt;=TODAY(),"En cours","À venir")))</f>
        <v/>
      </c>
    </row>
    <row r="536">
      <c r="A536" s="9" t="inlineStr">
        <is>
          <t>WRC-2027-009</t>
        </is>
      </c>
      <c r="B536" s="9" t="inlineStr">
        <is>
          <t>Rallye</t>
        </is>
      </c>
      <c r="C536" s="9" t="inlineStr">
        <is>
          <t>WRC</t>
        </is>
      </c>
      <c r="D536" s="9" t="inlineStr">
        <is>
          <t>2027</t>
        </is>
      </c>
      <c r="E536" s="9" t="inlineStr">
        <is>
          <t>Championnat du monde</t>
        </is>
      </c>
      <c r="F536" s="9" t="n">
        <v>9</v>
      </c>
      <c r="G536" s="9" t="inlineStr">
        <is>
          <t>Rallye d'Estonie</t>
        </is>
      </c>
      <c r="H536" s="10" t="n">
        <v>46590</v>
      </c>
      <c r="I536" s="10" t="n">
        <v>46593</v>
      </c>
      <c r="J536" s="11" t="n"/>
      <c r="K536" s="9" t="inlineStr">
        <is>
          <t>Europe/Paris</t>
        </is>
      </c>
      <c r="L536" s="9" t="inlineStr">
        <is>
          <t>Tartu</t>
        </is>
      </c>
      <c r="M536" s="9" t="inlineStr">
        <is>
          <t>Estonie</t>
        </is>
      </c>
      <c r="N536" s="9" t="inlineStr">
        <is>
          <t>Hommes</t>
        </is>
      </c>
      <c r="O536" s="9" t="inlineStr">
        <is>
          <t>Officiel</t>
        </is>
      </c>
      <c r="P536" s="9" t="inlineStr">
        <is>
          <t>Oui</t>
        </is>
      </c>
      <c r="Q536" s="9" t="inlineStr">
        <is>
          <t>https://www.wrc.com/en/news/wrc-calendar-2027</t>
        </is>
      </c>
      <c r="R536" s="10" t="n">
        <v>46311</v>
      </c>
      <c r="S536" s="9" t="inlineStr">
        <is>
          <t>Calendrier approuvé par le Conseil mondial FIA</t>
        </is>
      </c>
      <c r="T536" s="9">
        <f>IF(H536="","",IF(MAX(H536,I536)&lt;TODAY(),"Terminé",IF(H536&lt;=TODAY(),"En cours","À venir")))</f>
        <v/>
      </c>
    </row>
    <row r="537">
      <c r="A537" s="9" t="inlineStr">
        <is>
          <t>WRC-2027-010</t>
        </is>
      </c>
      <c r="B537" s="9" t="inlineStr">
        <is>
          <t>Rallye</t>
        </is>
      </c>
      <c r="C537" s="9" t="inlineStr">
        <is>
          <t>WRC</t>
        </is>
      </c>
      <c r="D537" s="9" t="inlineStr">
        <is>
          <t>2027</t>
        </is>
      </c>
      <c r="E537" s="9" t="inlineStr">
        <is>
          <t>Championnat du monde</t>
        </is>
      </c>
      <c r="F537" s="9" t="n">
        <v>10</v>
      </c>
      <c r="G537" s="9" t="inlineStr">
        <is>
          <t>Rallye de Finlande</t>
        </is>
      </c>
      <c r="H537" s="10" t="n">
        <v>46597</v>
      </c>
      <c r="I537" s="10" t="n">
        <v>46600</v>
      </c>
      <c r="J537" s="11" t="n"/>
      <c r="K537" s="9" t="inlineStr">
        <is>
          <t>Europe/Paris</t>
        </is>
      </c>
      <c r="L537" s="9" t="inlineStr">
        <is>
          <t>Jyväskylä</t>
        </is>
      </c>
      <c r="M537" s="9" t="inlineStr">
        <is>
          <t>Finlande</t>
        </is>
      </c>
      <c r="N537" s="9" t="inlineStr">
        <is>
          <t>Hommes</t>
        </is>
      </c>
      <c r="O537" s="9" t="inlineStr">
        <is>
          <t>Officiel</t>
        </is>
      </c>
      <c r="P537" s="9" t="inlineStr">
        <is>
          <t>Oui</t>
        </is>
      </c>
      <c r="Q537" s="9" t="inlineStr">
        <is>
          <t>https://www.wrc.com/en/news/wrc-calendar-2027</t>
        </is>
      </c>
      <c r="R537" s="10" t="n">
        <v>46311</v>
      </c>
      <c r="S537" s="9" t="inlineStr">
        <is>
          <t>Calendrier approuvé par le Conseil mondial FIA</t>
        </is>
      </c>
      <c r="T537" s="9">
        <f>IF(H537="","",IF(MAX(H537,I537)&lt;TODAY(),"Terminé",IF(H537&lt;=TODAY(),"En cours","À venir")))</f>
        <v/>
      </c>
    </row>
    <row r="538">
      <c r="A538" s="9" t="inlineStr">
        <is>
          <t>WRC-2027-011</t>
        </is>
      </c>
      <c r="B538" s="9" t="inlineStr">
        <is>
          <t>Rallye</t>
        </is>
      </c>
      <c r="C538" s="9" t="inlineStr">
        <is>
          <t>WRC</t>
        </is>
      </c>
      <c r="D538" s="9" t="inlineStr">
        <is>
          <t>2027</t>
        </is>
      </c>
      <c r="E538" s="9" t="inlineStr">
        <is>
          <t>Championnat du monde</t>
        </is>
      </c>
      <c r="F538" s="9" t="n">
        <v>11</v>
      </c>
      <c r="G538" s="9" t="inlineStr">
        <is>
          <t>Rallye des États-Unis</t>
        </is>
      </c>
      <c r="H538" s="10" t="n">
        <v>46625</v>
      </c>
      <c r="I538" s="10" t="n">
        <v>46628</v>
      </c>
      <c r="J538" s="11" t="n"/>
      <c r="K538" s="9" t="inlineStr">
        <is>
          <t>Europe/Paris</t>
        </is>
      </c>
      <c r="L538" s="9" t="n"/>
      <c r="M538" s="9" t="inlineStr">
        <is>
          <t>États-Unis</t>
        </is>
      </c>
      <c r="N538" s="9" t="inlineStr">
        <is>
          <t>Hommes</t>
        </is>
      </c>
      <c r="O538" s="9" t="inlineStr">
        <is>
          <t>Officiel</t>
        </is>
      </c>
      <c r="P538" s="9" t="inlineStr">
        <is>
          <t>Oui</t>
        </is>
      </c>
      <c r="Q538" s="9" t="inlineStr">
        <is>
          <t>https://www.wrc.com/en/news/wrc-calendar-2027</t>
        </is>
      </c>
      <c r="R538" s="10" t="n">
        <v>46311</v>
      </c>
      <c r="S538" s="9" t="inlineStr">
        <is>
          <t>Retour du WRC aux USA ; base annoncée par la presse autour de Knoxville (Tennessee), non officielle. Calendrier approuvé par le Conseil mondial FIA</t>
        </is>
      </c>
      <c r="T538" s="9">
        <f>IF(H538="","",IF(MAX(H538,I538)&lt;TODAY(),"Terminé",IF(H538&lt;=TODAY(),"En cours","À venir")))</f>
        <v/>
      </c>
    </row>
    <row r="539">
      <c r="A539" s="9" t="inlineStr">
        <is>
          <t>WRC-2027-012</t>
        </is>
      </c>
      <c r="B539" s="9" t="inlineStr">
        <is>
          <t>Rallye</t>
        </is>
      </c>
      <c r="C539" s="9" t="inlineStr">
        <is>
          <t>WRC</t>
        </is>
      </c>
      <c r="D539" s="9" t="inlineStr">
        <is>
          <t>2027</t>
        </is>
      </c>
      <c r="E539" s="9" t="inlineStr">
        <is>
          <t>Championnat du monde</t>
        </is>
      </c>
      <c r="F539" s="9" t="n">
        <v>12</v>
      </c>
      <c r="G539" s="9" t="inlineStr">
        <is>
          <t>Rallye d'Écosse</t>
        </is>
      </c>
      <c r="H539" s="10" t="n">
        <v>46660</v>
      </c>
      <c r="I539" s="10" t="n">
        <v>46663</v>
      </c>
      <c r="J539" s="11" t="n"/>
      <c r="K539" s="9" t="inlineStr">
        <is>
          <t>Europe/Paris</t>
        </is>
      </c>
      <c r="L539" s="9" t="inlineStr">
        <is>
          <t>Aberdeen</t>
        </is>
      </c>
      <c r="M539" s="9" t="inlineStr">
        <is>
          <t>Royaume-Uni</t>
        </is>
      </c>
      <c r="N539" s="9" t="inlineStr">
        <is>
          <t>Hommes</t>
        </is>
      </c>
      <c r="O539" s="9" t="inlineStr">
        <is>
          <t>Officiel</t>
        </is>
      </c>
      <c r="P539" s="9" t="inlineStr">
        <is>
          <t>Oui</t>
        </is>
      </c>
      <c r="Q539" s="9" t="inlineStr">
        <is>
          <t>https://www.wrc.com/en/news/wrc-calendar-2027</t>
        </is>
      </c>
      <c r="R539" s="10" t="n">
        <v>46311</v>
      </c>
      <c r="S539" s="9" t="inlineStr">
        <is>
          <t>Retour du Royaume-Uni ; QG proposé au P&amp;J Live d'Aberdeen. Calendrier approuvé par le Conseil mondial FIA</t>
        </is>
      </c>
      <c r="T539" s="9">
        <f>IF(H539="","",IF(MAX(H539,I539)&lt;TODAY(),"Terminé",IF(H539&lt;=TODAY(),"En cours","À venir")))</f>
        <v/>
      </c>
    </row>
    <row r="540">
      <c r="A540" s="9" t="inlineStr">
        <is>
          <t>WRC-2027-013</t>
        </is>
      </c>
      <c r="B540" s="9" t="inlineStr">
        <is>
          <t>Rallye</t>
        </is>
      </c>
      <c r="C540" s="9" t="inlineStr">
        <is>
          <t>WRC</t>
        </is>
      </c>
      <c r="D540" s="9" t="inlineStr">
        <is>
          <t>2027</t>
        </is>
      </c>
      <c r="E540" s="9" t="inlineStr">
        <is>
          <t>Championnat du monde</t>
        </is>
      </c>
      <c r="F540" s="9" t="n">
        <v>13</v>
      </c>
      <c r="G540" s="9" t="inlineStr">
        <is>
          <t>Rallye du Paraguay</t>
        </is>
      </c>
      <c r="H540" s="10" t="n">
        <v>46681</v>
      </c>
      <c r="I540" s="10" t="n">
        <v>46684</v>
      </c>
      <c r="J540" s="11" t="n"/>
      <c r="K540" s="9" t="inlineStr">
        <is>
          <t>Europe/Paris</t>
        </is>
      </c>
      <c r="L540" s="9" t="n"/>
      <c r="M540" s="9" t="inlineStr">
        <is>
          <t>Paraguay</t>
        </is>
      </c>
      <c r="N540" s="9" t="inlineStr">
        <is>
          <t>Hommes</t>
        </is>
      </c>
      <c r="O540" s="9" t="inlineStr">
        <is>
          <t>Officiel</t>
        </is>
      </c>
      <c r="P540" s="9" t="inlineStr">
        <is>
          <t>Oui</t>
        </is>
      </c>
      <c r="Q540" s="9" t="inlineStr">
        <is>
          <t>https://www.wrc.com/en/news/wrc-calendar-2027</t>
        </is>
      </c>
      <c r="R540" s="10" t="n">
        <v>46311</v>
      </c>
      <c r="S540" s="9" t="inlineStr">
        <is>
          <t>Calendrier approuvé par le Conseil mondial FIA</t>
        </is>
      </c>
      <c r="T540" s="9">
        <f>IF(H540="","",IF(MAX(H540,I540)&lt;TODAY(),"Terminé",IF(H540&lt;=TODAY(),"En cours","À venir")))</f>
        <v/>
      </c>
    </row>
    <row r="541">
      <c r="A541" s="9" t="inlineStr">
        <is>
          <t>WRC-2027-014</t>
        </is>
      </c>
      <c r="B541" s="9" t="inlineStr">
        <is>
          <t>Rallye</t>
        </is>
      </c>
      <c r="C541" s="9" t="inlineStr">
        <is>
          <t>WRC</t>
        </is>
      </c>
      <c r="D541" s="9" t="inlineStr">
        <is>
          <t>2027</t>
        </is>
      </c>
      <c r="E541" s="9" t="inlineStr">
        <is>
          <t>Championnat du monde</t>
        </is>
      </c>
      <c r="F541" s="9" t="n">
        <v>14</v>
      </c>
      <c r="G541" s="9" t="inlineStr">
        <is>
          <t>Rallye du Chili</t>
        </is>
      </c>
      <c r="H541" s="10" t="n">
        <v>46695</v>
      </c>
      <c r="I541" s="10" t="n">
        <v>46698</v>
      </c>
      <c r="J541" s="11" t="n"/>
      <c r="K541" s="9" t="inlineStr">
        <is>
          <t>Europe/Paris</t>
        </is>
      </c>
      <c r="L541" s="9" t="n"/>
      <c r="M541" s="9" t="inlineStr">
        <is>
          <t>Chili</t>
        </is>
      </c>
      <c r="N541" s="9" t="inlineStr">
        <is>
          <t>Hommes</t>
        </is>
      </c>
      <c r="O541" s="9" t="inlineStr">
        <is>
          <t>Officiel</t>
        </is>
      </c>
      <c r="P541" s="9" t="inlineStr">
        <is>
          <t>Oui</t>
        </is>
      </c>
      <c r="Q541" s="9" t="inlineStr">
        <is>
          <t>https://www.wrc.com/en/news/wrc-calendar-2027</t>
        </is>
      </c>
      <c r="R541" s="10" t="n">
        <v>46311</v>
      </c>
      <c r="S541" s="9" t="inlineStr">
        <is>
          <t>Calendrier approuvé par le Conseil mondial FIA</t>
        </is>
      </c>
      <c r="T541" s="9">
        <f>IF(H541="","",IF(MAX(H541,I541)&lt;TODAY(),"Terminé",IF(H541&lt;=TODAY(),"En cours","À venir")))</f>
        <v/>
      </c>
    </row>
    <row r="542">
      <c r="A542" s="9" t="inlineStr">
        <is>
          <t>WRC-2027-015</t>
        </is>
      </c>
      <c r="B542" s="9" t="inlineStr">
        <is>
          <t>Rallye</t>
        </is>
      </c>
      <c r="C542" s="9" t="inlineStr">
        <is>
          <t>WRC</t>
        </is>
      </c>
      <c r="D542" s="9" t="inlineStr">
        <is>
          <t>2027</t>
        </is>
      </c>
      <c r="E542" s="9" t="inlineStr">
        <is>
          <t>Championnat du monde</t>
        </is>
      </c>
      <c r="F542" s="9" t="n">
        <v>15</v>
      </c>
      <c r="G542" s="9" t="inlineStr">
        <is>
          <t>Rallye d'Arabie saoudite</t>
        </is>
      </c>
      <c r="H542" s="10" t="n">
        <v>46716</v>
      </c>
      <c r="I542" s="10" t="n">
        <v>46719</v>
      </c>
      <c r="J542" s="11" t="n"/>
      <c r="K542" s="9" t="inlineStr">
        <is>
          <t>Europe/Paris</t>
        </is>
      </c>
      <c r="L542" s="9" t="inlineStr">
        <is>
          <t>Djeddah</t>
        </is>
      </c>
      <c r="M542" s="9" t="inlineStr">
        <is>
          <t>Arabie saoudite</t>
        </is>
      </c>
      <c r="N542" s="9" t="inlineStr">
        <is>
          <t>Hommes</t>
        </is>
      </c>
      <c r="O542" s="9" t="inlineStr">
        <is>
          <t>Officiel</t>
        </is>
      </c>
      <c r="P542" s="9" t="inlineStr">
        <is>
          <t>Oui</t>
        </is>
      </c>
      <c r="Q542" s="9" t="inlineStr">
        <is>
          <t>https://www.wrc.com/en/news/wrc-calendar-2027</t>
        </is>
      </c>
      <c r="R542" s="10" t="n">
        <v>46311</v>
      </c>
      <c r="S542" s="9" t="inlineStr">
        <is>
          <t>Finale de la saison. Calendrier approuvé par le Conseil mondial FIA</t>
        </is>
      </c>
      <c r="T542" s="9">
        <f>IF(H542="","",IF(MAX(H542,I542)&lt;TODAY(),"Terminé",IF(H542&lt;=TODAY(),"En cours","À venir")))</f>
        <v/>
      </c>
    </row>
    <row r="543">
      <c r="A543" s="9" t="inlineStr">
        <is>
          <t>GC-2027-001</t>
        </is>
      </c>
      <c r="B543" s="9" t="inlineStr">
        <is>
          <t>Tennis</t>
        </is>
      </c>
      <c r="C543" s="9" t="inlineStr">
        <is>
          <t>Grand Chelem</t>
        </is>
      </c>
      <c r="D543" s="9" t="inlineStr">
        <is>
          <t>2027</t>
        </is>
      </c>
      <c r="E543" s="9" t="inlineStr">
        <is>
          <t>Grand Chelem</t>
        </is>
      </c>
      <c r="F543" s="9" t="n"/>
      <c r="G543" s="9" t="inlineStr">
        <is>
          <t>Open d'Australie</t>
        </is>
      </c>
      <c r="H543" s="10" t="n">
        <v>46404</v>
      </c>
      <c r="I543" s="10" t="n">
        <v>46418</v>
      </c>
      <c r="J543" s="11" t="n"/>
      <c r="K543" s="9" t="inlineStr">
        <is>
          <t>Europe/Paris</t>
        </is>
      </c>
      <c r="L543" s="9" t="inlineStr">
        <is>
          <t>Melbourne Park, Melbourne</t>
        </is>
      </c>
      <c r="M543" s="9" t="inlineStr">
        <is>
          <t>Australie</t>
        </is>
      </c>
      <c r="N543" s="9" t="inlineStr">
        <is>
          <t>Mixte</t>
        </is>
      </c>
      <c r="O543" s="9" t="inlineStr">
        <is>
          <t>Officiel</t>
        </is>
      </c>
      <c r="P543" s="9" t="inlineStr">
        <is>
          <t>Oui</t>
        </is>
      </c>
      <c r="Q543" s="9" t="inlineStr">
        <is>
          <t>https://ausopen.com/articles/news/australian-open-2027-dates-announced</t>
        </is>
      </c>
      <c r="R543" s="10" t="n">
        <v>46311</v>
      </c>
      <c r="S543" s="9" t="inlineStr">
        <is>
          <t>Tableau principal dès le dimanche 17/01 ; Opening Week 11-16/01 ; finales simples 30-31/01</t>
        </is>
      </c>
      <c r="T543" s="9">
        <f>IF(H543="","",IF(MAX(H543,I543)&lt;TODAY(),"Terminé",IF(H543&lt;=TODAY(),"En cours","À venir")))</f>
        <v/>
      </c>
    </row>
    <row r="544">
      <c r="A544" s="9" t="inlineStr">
        <is>
          <t>GC-2027-002</t>
        </is>
      </c>
      <c r="B544" s="9" t="inlineStr">
        <is>
          <t>Tennis</t>
        </is>
      </c>
      <c r="C544" s="9" t="inlineStr">
        <is>
          <t>Grand Chelem</t>
        </is>
      </c>
      <c r="D544" s="9" t="inlineStr">
        <is>
          <t>2027</t>
        </is>
      </c>
      <c r="E544" s="9" t="inlineStr">
        <is>
          <t>Grand Chelem</t>
        </is>
      </c>
      <c r="F544" s="9" t="n"/>
      <c r="G544" s="9" t="inlineStr">
        <is>
          <t>Roland-Garros</t>
        </is>
      </c>
      <c r="H544" s="10" t="n">
        <v>46530</v>
      </c>
      <c r="I544" s="10" t="n">
        <v>46544</v>
      </c>
      <c r="J544" s="11" t="n"/>
      <c r="K544" s="9" t="inlineStr">
        <is>
          <t>Europe/Paris</t>
        </is>
      </c>
      <c r="L544" s="9" t="inlineStr">
        <is>
          <t>Stade Roland-Garros, Paris</t>
        </is>
      </c>
      <c r="M544" s="9" t="inlineStr">
        <is>
          <t>France</t>
        </is>
      </c>
      <c r="N544" s="9" t="inlineStr">
        <is>
          <t>Mixte</t>
        </is>
      </c>
      <c r="O544" s="9" t="inlineStr">
        <is>
          <t>Officiel</t>
        </is>
      </c>
      <c r="P544" s="9" t="inlineStr">
        <is>
          <t>Oui</t>
        </is>
      </c>
      <c r="Q544" s="9" t="inlineStr">
        <is>
          <t>https://www.rolandgarros.com/en-us/</t>
        </is>
      </c>
      <c r="R544" s="10" t="n">
        <v>46311</v>
      </c>
      <c r="S544" s="9" t="inlineStr">
        <is>
          <t>Qualifications 17-21/05 ; tableau principal dès le dimanche 23/05</t>
        </is>
      </c>
      <c r="T544" s="9">
        <f>IF(H544="","",IF(MAX(H544,I544)&lt;TODAY(),"Terminé",IF(H544&lt;=TODAY(),"En cours","À venir")))</f>
        <v/>
      </c>
    </row>
    <row r="545">
      <c r="A545" s="9" t="inlineStr">
        <is>
          <t>GC-2027-003</t>
        </is>
      </c>
      <c r="B545" s="9" t="inlineStr">
        <is>
          <t>Tennis</t>
        </is>
      </c>
      <c r="C545" s="9" t="inlineStr">
        <is>
          <t>Grand Chelem</t>
        </is>
      </c>
      <c r="D545" s="9" t="inlineStr">
        <is>
          <t>2027</t>
        </is>
      </c>
      <c r="E545" s="9" t="inlineStr">
        <is>
          <t>Grand Chelem</t>
        </is>
      </c>
      <c r="F545" s="9" t="n"/>
      <c r="G545" s="9" t="inlineStr">
        <is>
          <t>Wimbledon</t>
        </is>
      </c>
      <c r="H545" s="10" t="n">
        <v>46566</v>
      </c>
      <c r="I545" s="10" t="n">
        <v>46579</v>
      </c>
      <c r="J545" s="11" t="n"/>
      <c r="K545" s="9" t="inlineStr">
        <is>
          <t>Europe/Paris</t>
        </is>
      </c>
      <c r="L545" s="9" t="inlineStr">
        <is>
          <t>All England Lawn Tennis Club, Londres</t>
        </is>
      </c>
      <c r="M545" s="9" t="inlineStr">
        <is>
          <t>Royaume-Uni</t>
        </is>
      </c>
      <c r="N545" s="9" t="inlineStr">
        <is>
          <t>Mixte</t>
        </is>
      </c>
      <c r="O545" s="9" t="inlineStr">
        <is>
          <t>Officiel</t>
        </is>
      </c>
      <c r="P545" s="9" t="inlineStr">
        <is>
          <t>Oui</t>
        </is>
      </c>
      <c r="Q545" s="9" t="inlineStr">
        <is>
          <t>https://www.wimbledon.com/en_GB/tickets/ballot</t>
        </is>
      </c>
      <c r="R545" s="10" t="n">
        <v>46311</v>
      </c>
      <c r="S545" s="9" t="inlineStr">
        <is>
          <t>Édition du 150e anniversaire</t>
        </is>
      </c>
      <c r="T545" s="9">
        <f>IF(H545="","",IF(MAX(H545,I545)&lt;TODAY(),"Terminé",IF(H545&lt;=TODAY(),"En cours","À venir")))</f>
        <v/>
      </c>
    </row>
    <row r="546">
      <c r="A546" s="9" t="inlineStr">
        <is>
          <t>GC-2027-004</t>
        </is>
      </c>
      <c r="B546" s="9" t="inlineStr">
        <is>
          <t>Tennis</t>
        </is>
      </c>
      <c r="C546" s="9" t="inlineStr">
        <is>
          <t>Grand Chelem</t>
        </is>
      </c>
      <c r="D546" s="9" t="inlineStr">
        <is>
          <t>2027</t>
        </is>
      </c>
      <c r="E546" s="9" t="inlineStr">
        <is>
          <t>Grand Chelem</t>
        </is>
      </c>
      <c r="F546" s="9" t="n"/>
      <c r="G546" s="9" t="inlineStr">
        <is>
          <t>US Open</t>
        </is>
      </c>
      <c r="H546" s="10" t="n">
        <v>46628</v>
      </c>
      <c r="I546" s="10" t="n">
        <v>46642</v>
      </c>
      <c r="J546" s="11" t="n"/>
      <c r="K546" s="9" t="inlineStr">
        <is>
          <t>Europe/Paris</t>
        </is>
      </c>
      <c r="L546" s="9" t="inlineStr">
        <is>
          <t>USTA Billie Jean King National Tennis Center, New York</t>
        </is>
      </c>
      <c r="M546" s="9" t="inlineStr">
        <is>
          <t>États-Unis</t>
        </is>
      </c>
      <c r="N546" s="9" t="inlineStr">
        <is>
          <t>Mixte</t>
        </is>
      </c>
      <c r="O546" s="9" t="inlineStr">
        <is>
          <t>À confirmer</t>
        </is>
      </c>
      <c r="P546" s="9" t="inlineStr">
        <is>
          <t>Oui</t>
        </is>
      </c>
      <c r="Q546" s="9" t="inlineStr">
        <is>
          <t>https://www.roadtrips.com/tennis-packages/us-open-tennis/schedule/</t>
        </is>
      </c>
      <c r="R546" s="10" t="n">
        <v>46311</v>
      </c>
      <c r="S546" s="9" t="inlineStr">
        <is>
          <t>Dates relevées chez des voyagistes, non vérifiées sur usopen.org</t>
        </is>
      </c>
      <c r="T546" s="9">
        <f>IF(H546="","",IF(MAX(H546,I546)&lt;TODAY(),"Terminé",IF(H546&lt;=TODAY(),"En cours","À venir")))</f>
        <v/>
      </c>
    </row>
    <row r="547">
      <c r="A547" s="9" t="inlineStr">
        <is>
          <t>UCI-2026-001</t>
        </is>
      </c>
      <c r="B547" s="9" t="inlineStr">
        <is>
          <t>Cyclisme sur route</t>
        </is>
      </c>
      <c r="C547" s="9" t="inlineStr">
        <is>
          <t>UCI WorldTour</t>
        </is>
      </c>
      <c r="D547" s="9" t="inlineStr">
        <is>
          <t>2026</t>
        </is>
      </c>
      <c r="E547" s="9" t="inlineStr">
        <is>
          <t>Course d'un jour</t>
        </is>
      </c>
      <c r="F547" s="9" t="n"/>
      <c r="G547" s="9" t="inlineStr">
        <is>
          <t>Il Lombardia</t>
        </is>
      </c>
      <c r="H547" s="10" t="n">
        <v>46305</v>
      </c>
      <c r="I547" s="10" t="n">
        <v>46305</v>
      </c>
      <c r="J547" s="11" t="n"/>
      <c r="K547" s="9" t="inlineStr">
        <is>
          <t>Europe/Paris</t>
        </is>
      </c>
      <c r="L547" s="9" t="inlineStr">
        <is>
          <t>Bergame</t>
        </is>
      </c>
      <c r="M547" s="9" t="inlineStr">
        <is>
          <t>Italie</t>
        </is>
      </c>
      <c r="N547" s="9" t="inlineStr">
        <is>
          <t>Hommes</t>
        </is>
      </c>
      <c r="O547" s="9" t="inlineStr">
        <is>
          <t>Officiel</t>
        </is>
      </c>
      <c r="P547" s="9" t="inlineStr">
        <is>
          <t>Oui</t>
        </is>
      </c>
      <c r="Q547" s="9" t="inlineStr">
        <is>
          <t>https://sport.sky.it/ciclismo/2026/10/09/giro-di-lombardia-2026-percorso</t>
        </is>
      </c>
      <c r="R547" s="10" t="n">
        <v>46311</v>
      </c>
      <c r="S547" s="9" t="inlineStr">
        <is>
          <t>Monument ; Bergame -&gt; Côme, 239 km ; course déjà disputée</t>
        </is>
      </c>
      <c r="T547" s="9">
        <f>IF(H547="","",IF(MAX(H547,I547)&lt;TODAY(),"Terminé",IF(H547&lt;=TODAY(),"En cours","À venir")))</f>
        <v/>
      </c>
    </row>
    <row r="548">
      <c r="A548" s="9" t="inlineStr">
        <is>
          <t>UCI-2026-002</t>
        </is>
      </c>
      <c r="B548" s="9" t="inlineStr">
        <is>
          <t>Cyclisme sur route</t>
        </is>
      </c>
      <c r="C548" s="9" t="inlineStr">
        <is>
          <t>UCI WorldTour</t>
        </is>
      </c>
      <c r="D548" s="9" t="inlineStr">
        <is>
          <t>2026</t>
        </is>
      </c>
      <c r="E548" s="9" t="inlineStr">
        <is>
          <t>Course par étapes</t>
        </is>
      </c>
      <c r="F548" s="9" t="n"/>
      <c r="G548" s="9" t="inlineStr">
        <is>
          <t>Tour du Guangxi</t>
        </is>
      </c>
      <c r="H548" s="10" t="n">
        <v>46308</v>
      </c>
      <c r="I548" s="10" t="n">
        <v>46313</v>
      </c>
      <c r="J548" s="11" t="n"/>
      <c r="K548" s="9" t="inlineStr">
        <is>
          <t>Europe/Paris</t>
        </is>
      </c>
      <c r="L548" s="9" t="inlineStr">
        <is>
          <t>Guangxi</t>
        </is>
      </c>
      <c r="M548" s="9" t="inlineStr">
        <is>
          <t>Chine</t>
        </is>
      </c>
      <c r="N548" s="9" t="inlineStr">
        <is>
          <t>Hommes</t>
        </is>
      </c>
      <c r="O548" s="9" t="inlineStr">
        <is>
          <t>Officiel</t>
        </is>
      </c>
      <c r="P548" s="9" t="inlineStr">
        <is>
          <t>Oui</t>
        </is>
      </c>
      <c r="Q548" s="9" t="inlineStr">
        <is>
          <t>https://www.uci.org/article/uci-worldtour-global-challenges-begin-down-under/76v6cOjKISbi1rMh097Ray</t>
        </is>
      </c>
      <c r="R548" s="10" t="n">
        <v>46311</v>
      </c>
      <c r="S548" s="9" t="inlineStr">
        <is>
          <t>Dernière épreuve UWT 2026 ; 6 jours de course</t>
        </is>
      </c>
      <c r="T548" s="9">
        <f>IF(H548="","",IF(MAX(H548,I548)&lt;TODAY(),"Terminé",IF(H548&lt;=TODAY(),"En cours","À venir")))</f>
        <v/>
      </c>
    </row>
    <row r="549">
      <c r="A549" s="9" t="inlineStr">
        <is>
          <t>UCI-2027-001</t>
        </is>
      </c>
      <c r="B549" s="9" t="inlineStr">
        <is>
          <t>Cyclisme sur route</t>
        </is>
      </c>
      <c r="C549" s="9" t="inlineStr">
        <is>
          <t>UCI WorldTour</t>
        </is>
      </c>
      <c r="D549" s="9" t="inlineStr">
        <is>
          <t>2027</t>
        </is>
      </c>
      <c r="E549" s="9" t="inlineStr">
        <is>
          <t>Course par étapes</t>
        </is>
      </c>
      <c r="F549" s="9" t="n"/>
      <c r="G549" s="9" t="inlineStr">
        <is>
          <t>Tour Down Under</t>
        </is>
      </c>
      <c r="H549" s="10" t="n">
        <v>46406</v>
      </c>
      <c r="I549" s="10" t="n">
        <v>46411</v>
      </c>
      <c r="J549" s="11" t="n"/>
      <c r="K549" s="9" t="inlineStr">
        <is>
          <t>Europe/Paris</t>
        </is>
      </c>
      <c r="L549" s="9" t="inlineStr">
        <is>
          <t>Adélaïde</t>
        </is>
      </c>
      <c r="M549" s="9" t="inlineStr">
        <is>
          <t>Australie</t>
        </is>
      </c>
      <c r="N549" s="9" t="inlineStr">
        <is>
          <t>Hommes</t>
        </is>
      </c>
      <c r="O549" s="9" t="inlineStr">
        <is>
          <t>Officiel</t>
        </is>
      </c>
      <c r="P549" s="9" t="inlineStr">
        <is>
          <t>Oui</t>
        </is>
      </c>
      <c r="Q549" s="9" t="inlineStr">
        <is>
          <t>https://www.domestiquecycling.com/en/news/uci-confirms-2027-worldtour-calendars-as-vuelta-espana-femenina-moves-to-september/</t>
        </is>
      </c>
      <c r="R549" s="10" t="n">
        <v>46311</v>
      </c>
      <c r="S549" s="9" t="inlineStr">
        <is>
          <t>Calendrier UWT 2027 approuvé par le Comité directeur UCI (juin 2026) ; 6 jours de course, nombre d'étapes à confirmer</t>
        </is>
      </c>
      <c r="T549" s="9">
        <f>IF(H549="","",IF(MAX(H549,I549)&lt;TODAY(),"Terminé",IF(H549&lt;=TODAY(),"En cours","À venir")))</f>
        <v/>
      </c>
    </row>
    <row r="550">
      <c r="A550" s="9" t="inlineStr">
        <is>
          <t>UCI-2027-002</t>
        </is>
      </c>
      <c r="B550" s="9" t="inlineStr">
        <is>
          <t>Cyclisme sur route</t>
        </is>
      </c>
      <c r="C550" s="9" t="inlineStr">
        <is>
          <t>UCI WorldTour</t>
        </is>
      </c>
      <c r="D550" s="9" t="inlineStr">
        <is>
          <t>2027</t>
        </is>
      </c>
      <c r="E550" s="9" t="inlineStr">
        <is>
          <t>Course d'un jour</t>
        </is>
      </c>
      <c r="F550" s="9" t="n"/>
      <c r="G550" s="9" t="inlineStr">
        <is>
          <t>Cadel Evans Great Ocean Road Race</t>
        </is>
      </c>
      <c r="H550" s="10" t="n">
        <v>46418</v>
      </c>
      <c r="I550" s="10" t="n">
        <v>46418</v>
      </c>
      <c r="J550" s="11" t="n"/>
      <c r="K550" s="9" t="inlineStr">
        <is>
          <t>Europe/Paris</t>
        </is>
      </c>
      <c r="L550" s="9" t="inlineStr">
        <is>
          <t>Geelong</t>
        </is>
      </c>
      <c r="M550" s="9" t="inlineStr">
        <is>
          <t>Australie</t>
        </is>
      </c>
      <c r="N550" s="9" t="inlineStr">
        <is>
          <t>Hommes</t>
        </is>
      </c>
      <c r="O550" s="9" t="inlineStr">
        <is>
          <t>Officiel</t>
        </is>
      </c>
      <c r="P550" s="9" t="inlineStr">
        <is>
          <t>Oui</t>
        </is>
      </c>
      <c r="Q550" s="9" t="inlineStr">
        <is>
          <t>https://www.domestiquecycling.com/en/2027-uci-worldtour-calendar/</t>
        </is>
      </c>
      <c r="R550" s="10" t="n">
        <v>46311</v>
      </c>
      <c r="S550" s="9" t="n"/>
      <c r="T550" s="9">
        <f>IF(H550="","",IF(MAX(H550,I550)&lt;TODAY(),"Terminé",IF(H550&lt;=TODAY(),"En cours","À venir")))</f>
        <v/>
      </c>
    </row>
    <row r="551">
      <c r="A551" s="9" t="inlineStr">
        <is>
          <t>UCI-2027-003</t>
        </is>
      </c>
      <c r="B551" s="9" t="inlineStr">
        <is>
          <t>Cyclisme sur route</t>
        </is>
      </c>
      <c r="C551" s="9" t="inlineStr">
        <is>
          <t>UCI WorldTour</t>
        </is>
      </c>
      <c r="D551" s="9" t="inlineStr">
        <is>
          <t>2027</t>
        </is>
      </c>
      <c r="E551" s="9" t="inlineStr">
        <is>
          <t>Course par étapes</t>
        </is>
      </c>
      <c r="F551" s="9" t="n"/>
      <c r="G551" s="9" t="inlineStr">
        <is>
          <t>UAE Tour</t>
        </is>
      </c>
      <c r="H551" s="10" t="n">
        <v>46433</v>
      </c>
      <c r="I551" s="10" t="n">
        <v>46439</v>
      </c>
      <c r="J551" s="11" t="n"/>
      <c r="K551" s="9" t="inlineStr">
        <is>
          <t>Europe/Paris</t>
        </is>
      </c>
      <c r="L551" s="9" t="inlineStr">
        <is>
          <t>Émirats arabes unis</t>
        </is>
      </c>
      <c r="M551" s="9" t="inlineStr">
        <is>
          <t>Émirats arabes unis</t>
        </is>
      </c>
      <c r="N551" s="9" t="inlineStr">
        <is>
          <t>Hommes</t>
        </is>
      </c>
      <c r="O551" s="9" t="inlineStr">
        <is>
          <t>Officiel</t>
        </is>
      </c>
      <c r="P551" s="9" t="inlineStr">
        <is>
          <t>Oui</t>
        </is>
      </c>
      <c r="Q551" s="9" t="inlineStr">
        <is>
          <t>https://www.cyclingnews.com/pro-cycling/racing/uci-reveals-2027-worldtour-racing-calendars-with-super-world-championships-in-france-forcing-changes/</t>
        </is>
      </c>
      <c r="R551" s="10" t="n">
        <v>46311</v>
      </c>
      <c r="S551" s="9" t="inlineStr">
        <is>
          <t>7 jours de course</t>
        </is>
      </c>
      <c r="T551" s="9">
        <f>IF(H551="","",IF(MAX(H551,I551)&lt;TODAY(),"Terminé",IF(H551&lt;=TODAY(),"En cours","À venir")))</f>
        <v/>
      </c>
    </row>
    <row r="552">
      <c r="A552" s="9" t="inlineStr">
        <is>
          <t>UCI-2027-004</t>
        </is>
      </c>
      <c r="B552" s="9" t="inlineStr">
        <is>
          <t>Cyclisme sur route</t>
        </is>
      </c>
      <c r="C552" s="9" t="inlineStr">
        <is>
          <t>UCI WorldTour</t>
        </is>
      </c>
      <c r="D552" s="9" t="inlineStr">
        <is>
          <t>2027</t>
        </is>
      </c>
      <c r="E552" s="9" t="inlineStr">
        <is>
          <t>Course d'un jour</t>
        </is>
      </c>
      <c r="F552" s="9" t="n"/>
      <c r="G552" s="9" t="inlineStr">
        <is>
          <t>Omloop Nieuwsblad</t>
        </is>
      </c>
      <c r="H552" s="10" t="n">
        <v>46445</v>
      </c>
      <c r="I552" s="10" t="n">
        <v>46445</v>
      </c>
      <c r="J552" s="11" t="n"/>
      <c r="K552" s="9" t="inlineStr">
        <is>
          <t>Europe/Paris</t>
        </is>
      </c>
      <c r="L552" s="9" t="inlineStr">
        <is>
          <t>Gand</t>
        </is>
      </c>
      <c r="M552" s="9" t="inlineStr">
        <is>
          <t>Belgique</t>
        </is>
      </c>
      <c r="N552" s="9" t="inlineStr">
        <is>
          <t>Hommes</t>
        </is>
      </c>
      <c r="O552" s="9" t="inlineStr">
        <is>
          <t>Officiel</t>
        </is>
      </c>
      <c r="P552" s="9" t="inlineStr">
        <is>
          <t>Oui</t>
        </is>
      </c>
      <c r="Q552" s="9" t="inlineStr">
        <is>
          <t>https://www.domestiquecycling.com/en/2027-uci-worldtour-calendar/</t>
        </is>
      </c>
      <c r="R552" s="10" t="n">
        <v>46311</v>
      </c>
      <c r="S552" s="9" t="n"/>
      <c r="T552" s="9">
        <f>IF(H552="","",IF(MAX(H552,I552)&lt;TODAY(),"Terminé",IF(H552&lt;=TODAY(),"En cours","À venir")))</f>
        <v/>
      </c>
    </row>
    <row r="553">
      <c r="A553" s="9" t="inlineStr">
        <is>
          <t>UCI-2027-005</t>
        </is>
      </c>
      <c r="B553" s="9" t="inlineStr">
        <is>
          <t>Cyclisme sur route</t>
        </is>
      </c>
      <c r="C553" s="9" t="inlineStr">
        <is>
          <t>UCI WorldTour</t>
        </is>
      </c>
      <c r="D553" s="9" t="inlineStr">
        <is>
          <t>2027</t>
        </is>
      </c>
      <c r="E553" s="9" t="inlineStr">
        <is>
          <t>Course d'un jour</t>
        </is>
      </c>
      <c r="F553" s="9" t="n"/>
      <c r="G553" s="9" t="inlineStr">
        <is>
          <t>Strade Bianche</t>
        </is>
      </c>
      <c r="H553" s="10" t="n">
        <v>46452</v>
      </c>
      <c r="I553" s="10" t="n">
        <v>46452</v>
      </c>
      <c r="J553" s="11" t="n"/>
      <c r="K553" s="9" t="inlineStr">
        <is>
          <t>Europe/Paris</t>
        </is>
      </c>
      <c r="L553" s="9" t="inlineStr">
        <is>
          <t>Sienne</t>
        </is>
      </c>
      <c r="M553" s="9" t="inlineStr">
        <is>
          <t>Italie</t>
        </is>
      </c>
      <c r="N553" s="9" t="inlineStr">
        <is>
          <t>Hommes</t>
        </is>
      </c>
      <c r="O553" s="9" t="inlineStr">
        <is>
          <t>Officiel</t>
        </is>
      </c>
      <c r="P553" s="9" t="inlineStr">
        <is>
          <t>Oui</t>
        </is>
      </c>
      <c r="Q553" s="9" t="inlineStr">
        <is>
          <t>https://www.domestiquecycling.com/en/2027-uci-worldtour-calendar/</t>
        </is>
      </c>
      <c r="R553" s="10" t="n">
        <v>46311</v>
      </c>
      <c r="S553" s="9" t="n"/>
      <c r="T553" s="9">
        <f>IF(H553="","",IF(MAX(H553,I553)&lt;TODAY(),"Terminé",IF(H553&lt;=TODAY(),"En cours","À venir")))</f>
        <v/>
      </c>
    </row>
    <row r="554">
      <c r="A554" s="9" t="inlineStr">
        <is>
          <t>UCI-2027-006</t>
        </is>
      </c>
      <c r="B554" s="9" t="inlineStr">
        <is>
          <t>Cyclisme sur route</t>
        </is>
      </c>
      <c r="C554" s="9" t="inlineStr">
        <is>
          <t>UCI WorldTour</t>
        </is>
      </c>
      <c r="D554" s="9" t="inlineStr">
        <is>
          <t>2027</t>
        </is>
      </c>
      <c r="E554" s="9" t="inlineStr">
        <is>
          <t>Course par étapes</t>
        </is>
      </c>
      <c r="F554" s="9" t="n"/>
      <c r="G554" s="9" t="inlineStr">
        <is>
          <t>Paris-Nice</t>
        </is>
      </c>
      <c r="H554" s="10" t="n">
        <v>46453</v>
      </c>
      <c r="I554" s="10" t="n">
        <v>46460</v>
      </c>
      <c r="J554" s="11" t="n"/>
      <c r="K554" s="9" t="inlineStr">
        <is>
          <t>Europe/Paris</t>
        </is>
      </c>
      <c r="L554" s="9" t="inlineStr">
        <is>
          <t>France</t>
        </is>
      </c>
      <c r="M554" s="9" t="inlineStr">
        <is>
          <t>France</t>
        </is>
      </c>
      <c r="N554" s="9" t="inlineStr">
        <is>
          <t>Hommes</t>
        </is>
      </c>
      <c r="O554" s="9" t="inlineStr">
        <is>
          <t>Officiel</t>
        </is>
      </c>
      <c r="P554" s="9" t="inlineStr">
        <is>
          <t>Oui</t>
        </is>
      </c>
      <c r="Q554" s="9" t="inlineStr">
        <is>
          <t>https://www.domestiquecycling.com/en/2027-uci-worldtour-calendar/</t>
        </is>
      </c>
      <c r="R554" s="10" t="n">
        <v>46311</v>
      </c>
      <c r="S554" s="9" t="inlineStr">
        <is>
          <t>8 jours de course ; ville de départ non annoncée</t>
        </is>
      </c>
      <c r="T554" s="9">
        <f>IF(H554="","",IF(MAX(H554,I554)&lt;TODAY(),"Terminé",IF(H554&lt;=TODAY(),"En cours","À venir")))</f>
        <v/>
      </c>
    </row>
    <row r="555">
      <c r="A555" s="9" t="inlineStr">
        <is>
          <t>UCI-2027-007</t>
        </is>
      </c>
      <c r="B555" s="9" t="inlineStr">
        <is>
          <t>Cyclisme sur route</t>
        </is>
      </c>
      <c r="C555" s="9" t="inlineStr">
        <is>
          <t>UCI WorldTour</t>
        </is>
      </c>
      <c r="D555" s="9" t="inlineStr">
        <is>
          <t>2027</t>
        </is>
      </c>
      <c r="E555" s="9" t="inlineStr">
        <is>
          <t>Course par étapes</t>
        </is>
      </c>
      <c r="F555" s="9" t="n"/>
      <c r="G555" s="9" t="inlineStr">
        <is>
          <t>Tirreno-Adriatico</t>
        </is>
      </c>
      <c r="H555" s="10" t="n">
        <v>46454</v>
      </c>
      <c r="I555" s="10" t="n">
        <v>46460</v>
      </c>
      <c r="J555" s="11" t="n"/>
      <c r="K555" s="9" t="inlineStr">
        <is>
          <t>Europe/Paris</t>
        </is>
      </c>
      <c r="L555" s="9" t="inlineStr">
        <is>
          <t>Italie</t>
        </is>
      </c>
      <c r="M555" s="9" t="inlineStr">
        <is>
          <t>Italie</t>
        </is>
      </c>
      <c r="N555" s="9" t="inlineStr">
        <is>
          <t>Hommes</t>
        </is>
      </c>
      <c r="O555" s="9" t="inlineStr">
        <is>
          <t>Officiel</t>
        </is>
      </c>
      <c r="P555" s="9" t="inlineStr">
        <is>
          <t>Oui</t>
        </is>
      </c>
      <c r="Q555" s="9" t="inlineStr">
        <is>
          <t>https://www.domestiquecycling.com/en/2027-uci-worldtour-calendar/</t>
        </is>
      </c>
      <c r="R555" s="10" t="n">
        <v>46311</v>
      </c>
      <c r="S555" s="9" t="inlineStr">
        <is>
          <t>7 jours de course ; parcours non annoncé</t>
        </is>
      </c>
      <c r="T555" s="9">
        <f>IF(H555="","",IF(MAX(H555,I555)&lt;TODAY(),"Terminé",IF(H555&lt;=TODAY(),"En cours","À venir")))</f>
        <v/>
      </c>
    </row>
    <row r="556">
      <c r="A556" s="9" t="inlineStr">
        <is>
          <t>UCI-2027-008</t>
        </is>
      </c>
      <c r="B556" s="9" t="inlineStr">
        <is>
          <t>Cyclisme sur route</t>
        </is>
      </c>
      <c r="C556" s="9" t="inlineStr">
        <is>
          <t>UCI WorldTour</t>
        </is>
      </c>
      <c r="D556" s="9" t="inlineStr">
        <is>
          <t>2027</t>
        </is>
      </c>
      <c r="E556" s="9" t="inlineStr">
        <is>
          <t>Course d'un jour</t>
        </is>
      </c>
      <c r="F556" s="9" t="n"/>
      <c r="G556" s="9" t="inlineStr">
        <is>
          <t>Milan-San Remo</t>
        </is>
      </c>
      <c r="H556" s="10" t="n">
        <v>46466</v>
      </c>
      <c r="I556" s="10" t="n">
        <v>46466</v>
      </c>
      <c r="J556" s="11" t="n"/>
      <c r="K556" s="9" t="inlineStr">
        <is>
          <t>Europe/Paris</t>
        </is>
      </c>
      <c r="L556" s="9" t="inlineStr">
        <is>
          <t>Lombardie</t>
        </is>
      </c>
      <c r="M556" s="9" t="inlineStr">
        <is>
          <t>Italie</t>
        </is>
      </c>
      <c r="N556" s="9" t="inlineStr">
        <is>
          <t>Hommes</t>
        </is>
      </c>
      <c r="O556" s="9" t="inlineStr">
        <is>
          <t>Officiel</t>
        </is>
      </c>
      <c r="P556" s="9" t="inlineStr">
        <is>
          <t>Oui</t>
        </is>
      </c>
      <c r="Q556" s="9" t="inlineStr">
        <is>
          <t>https://www.domestiquecycling.com/en/news/uci-confirms-2027-worldtour-calendars-as-vuelta-espana-femenina-moves-to-september/</t>
        </is>
      </c>
      <c r="R556" s="10" t="n">
        <v>46311</v>
      </c>
      <c r="S556" s="9" t="inlineStr">
        <is>
          <t>Monument ; ville de départ à confirmer</t>
        </is>
      </c>
      <c r="T556" s="9">
        <f>IF(H556="","",IF(MAX(H556,I556)&lt;TODAY(),"Terminé",IF(H556&lt;=TODAY(),"En cours","À venir")))</f>
        <v/>
      </c>
    </row>
    <row r="557">
      <c r="A557" s="9" t="inlineStr">
        <is>
          <t>UCI-2027-009</t>
        </is>
      </c>
      <c r="B557" s="9" t="inlineStr">
        <is>
          <t>Cyclisme sur route</t>
        </is>
      </c>
      <c r="C557" s="9" t="inlineStr">
        <is>
          <t>UCI WorldTour</t>
        </is>
      </c>
      <c r="D557" s="9" t="inlineStr">
        <is>
          <t>2027</t>
        </is>
      </c>
      <c r="E557" s="9" t="inlineStr">
        <is>
          <t>Course par étapes</t>
        </is>
      </c>
      <c r="F557" s="9" t="n"/>
      <c r="G557" s="9" t="inlineStr">
        <is>
          <t>Tour de Catalogne</t>
        </is>
      </c>
      <c r="H557" s="10" t="n">
        <v>46468</v>
      </c>
      <c r="I557" s="10" t="n">
        <v>46474</v>
      </c>
      <c r="J557" s="11" t="n"/>
      <c r="K557" s="9" t="inlineStr">
        <is>
          <t>Europe/Paris</t>
        </is>
      </c>
      <c r="L557" s="9" t="inlineStr">
        <is>
          <t>Catalogne</t>
        </is>
      </c>
      <c r="M557" s="9" t="inlineStr">
        <is>
          <t>Espagne</t>
        </is>
      </c>
      <c r="N557" s="9" t="inlineStr">
        <is>
          <t>Hommes</t>
        </is>
      </c>
      <c r="O557" s="9" t="inlineStr">
        <is>
          <t>Officiel</t>
        </is>
      </c>
      <c r="P557" s="9" t="inlineStr">
        <is>
          <t>Oui</t>
        </is>
      </c>
      <c r="Q557" s="9" t="inlineStr">
        <is>
          <t>https://www.domestiquecycling.com/en/2027-uci-worldtour-calendar/</t>
        </is>
      </c>
      <c r="R557" s="10" t="n">
        <v>46311</v>
      </c>
      <c r="S557" s="9" t="inlineStr">
        <is>
          <t>7 jours de course</t>
        </is>
      </c>
      <c r="T557" s="9">
        <f>IF(H557="","",IF(MAX(H557,I557)&lt;TODAY(),"Terminé",IF(H557&lt;=TODAY(),"En cours","À venir")))</f>
        <v/>
      </c>
    </row>
    <row r="558">
      <c r="A558" s="9" t="inlineStr">
        <is>
          <t>UCI-2027-010</t>
        </is>
      </c>
      <c r="B558" s="9" t="inlineStr">
        <is>
          <t>Cyclisme sur route</t>
        </is>
      </c>
      <c r="C558" s="9" t="inlineStr">
        <is>
          <t>UCI WorldTour</t>
        </is>
      </c>
      <c r="D558" s="9" t="inlineStr">
        <is>
          <t>2027</t>
        </is>
      </c>
      <c r="E558" s="9" t="inlineStr">
        <is>
          <t>Course d'un jour</t>
        </is>
      </c>
      <c r="F558" s="9" t="n"/>
      <c r="G558" s="9" t="inlineStr">
        <is>
          <t>Ronde van Brugge (ex-Classic Brugge-De Panne)</t>
        </is>
      </c>
      <c r="H558" s="10" t="n">
        <v>46470</v>
      </c>
      <c r="I558" s="10" t="n">
        <v>46470</v>
      </c>
      <c r="J558" s="11" t="n"/>
      <c r="K558" s="9" t="inlineStr">
        <is>
          <t>Europe/Paris</t>
        </is>
      </c>
      <c r="L558" s="9" t="inlineStr">
        <is>
          <t>Bruges</t>
        </is>
      </c>
      <c r="M558" s="9" t="inlineStr">
        <is>
          <t>Belgique</t>
        </is>
      </c>
      <c r="N558" s="9" t="inlineStr">
        <is>
          <t>Hommes</t>
        </is>
      </c>
      <c r="O558" s="9" t="inlineStr">
        <is>
          <t>Officiel</t>
        </is>
      </c>
      <c r="P558" s="9" t="inlineStr">
        <is>
          <t>Oui</t>
        </is>
      </c>
      <c r="Q558" s="9" t="inlineStr">
        <is>
          <t>https://www.domestiquecycling.com/en/2027-uci-worldtour-calendar/</t>
        </is>
      </c>
      <c r="R558" s="10" t="n">
        <v>46311</v>
      </c>
      <c r="S558" s="9" t="n"/>
      <c r="T558" s="9">
        <f>IF(H558="","",IF(MAX(H558,I558)&lt;TODAY(),"Terminé",IF(H558&lt;=TODAY(),"En cours","À venir")))</f>
        <v/>
      </c>
    </row>
    <row r="559">
      <c r="A559" s="9" t="inlineStr">
        <is>
          <t>UCI-2027-011</t>
        </is>
      </c>
      <c r="B559" s="9" t="inlineStr">
        <is>
          <t>Cyclisme sur route</t>
        </is>
      </c>
      <c r="C559" s="9" t="inlineStr">
        <is>
          <t>UCI WorldTour</t>
        </is>
      </c>
      <c r="D559" s="9" t="inlineStr">
        <is>
          <t>2027</t>
        </is>
      </c>
      <c r="E559" s="9" t="inlineStr">
        <is>
          <t>Course d'un jour</t>
        </is>
      </c>
      <c r="F559" s="9" t="n"/>
      <c r="G559" s="9" t="inlineStr">
        <is>
          <t>E3 Saxo Classic</t>
        </is>
      </c>
      <c r="H559" s="10" t="n">
        <v>46472</v>
      </c>
      <c r="I559" s="10" t="n">
        <v>46472</v>
      </c>
      <c r="J559" s="11" t="n"/>
      <c r="K559" s="9" t="inlineStr">
        <is>
          <t>Europe/Paris</t>
        </is>
      </c>
      <c r="L559" s="9" t="inlineStr">
        <is>
          <t>Harelbeke</t>
        </is>
      </c>
      <c r="M559" s="9" t="inlineStr">
        <is>
          <t>Belgique</t>
        </is>
      </c>
      <c r="N559" s="9" t="inlineStr">
        <is>
          <t>Hommes</t>
        </is>
      </c>
      <c r="O559" s="9" t="inlineStr">
        <is>
          <t>Officiel</t>
        </is>
      </c>
      <c r="P559" s="9" t="inlineStr">
        <is>
          <t>Oui</t>
        </is>
      </c>
      <c r="Q559" s="9" t="inlineStr">
        <is>
          <t>https://www.cyclingnews.com/pro-cycling/racing/uci-reveals-2027-worldtour-racing-calendars-with-super-world-championships-in-france-forcing-changes/</t>
        </is>
      </c>
      <c r="R559" s="10" t="n">
        <v>46311</v>
      </c>
      <c r="S559" s="9" t="n"/>
      <c r="T559" s="9">
        <f>IF(H559="","",IF(MAX(H559,I559)&lt;TODAY(),"Terminé",IF(H559&lt;=TODAY(),"En cours","À venir")))</f>
        <v/>
      </c>
    </row>
    <row r="560">
      <c r="A560" s="9" t="inlineStr">
        <is>
          <t>UCI-2027-012</t>
        </is>
      </c>
      <c r="B560" s="9" t="inlineStr">
        <is>
          <t>Cyclisme sur route</t>
        </is>
      </c>
      <c r="C560" s="9" t="inlineStr">
        <is>
          <t>UCI WorldTour</t>
        </is>
      </c>
      <c r="D560" s="9" t="inlineStr">
        <is>
          <t>2027</t>
        </is>
      </c>
      <c r="E560" s="9" t="inlineStr">
        <is>
          <t>Course d'un jour</t>
        </is>
      </c>
      <c r="F560" s="9" t="n"/>
      <c r="G560" s="9" t="inlineStr">
        <is>
          <t>In Flanders Fields (ex-Gand-Wevelgem)</t>
        </is>
      </c>
      <c r="H560" s="10" t="n">
        <v>46474</v>
      </c>
      <c r="I560" s="10" t="n">
        <v>46474</v>
      </c>
      <c r="J560" s="11" t="n"/>
      <c r="K560" s="9" t="inlineStr">
        <is>
          <t>Europe/Paris</t>
        </is>
      </c>
      <c r="L560" s="9" t="inlineStr">
        <is>
          <t>Middelkerke</t>
        </is>
      </c>
      <c r="M560" s="9" t="inlineStr">
        <is>
          <t>Belgique</t>
        </is>
      </c>
      <c r="N560" s="9" t="inlineStr">
        <is>
          <t>Hommes</t>
        </is>
      </c>
      <c r="O560" s="9" t="inlineStr">
        <is>
          <t>Officiel</t>
        </is>
      </c>
      <c r="P560" s="9" t="inlineStr">
        <is>
          <t>Oui</t>
        </is>
      </c>
      <c r="Q560" s="9" t="inlineStr">
        <is>
          <t>https://www.domestiquecycling.com/en/2027-uci-worldtour-calendar/</t>
        </is>
      </c>
      <c r="R560" s="10" t="n">
        <v>46311</v>
      </c>
      <c r="S560" s="9" t="inlineStr">
        <is>
          <t>Middelkerke -&gt; Wevelgem</t>
        </is>
      </c>
      <c r="T560" s="9">
        <f>IF(H560="","",IF(MAX(H560,I560)&lt;TODAY(),"Terminé",IF(H560&lt;=TODAY(),"En cours","À venir")))</f>
        <v/>
      </c>
    </row>
    <row r="561">
      <c r="A561" s="9" t="inlineStr">
        <is>
          <t>UCI-2027-013</t>
        </is>
      </c>
      <c r="B561" s="9" t="inlineStr">
        <is>
          <t>Cyclisme sur route</t>
        </is>
      </c>
      <c r="C561" s="9" t="inlineStr">
        <is>
          <t>UCI WorldTour</t>
        </is>
      </c>
      <c r="D561" s="9" t="inlineStr">
        <is>
          <t>2027</t>
        </is>
      </c>
      <c r="E561" s="9" t="inlineStr">
        <is>
          <t>Course d'un jour</t>
        </is>
      </c>
      <c r="F561" s="9" t="n"/>
      <c r="G561" s="9" t="inlineStr">
        <is>
          <t>À travers la Flandre</t>
        </is>
      </c>
      <c r="H561" s="10" t="n">
        <v>46477</v>
      </c>
      <c r="I561" s="10" t="n">
        <v>46477</v>
      </c>
      <c r="J561" s="11" t="n"/>
      <c r="K561" s="9" t="inlineStr">
        <is>
          <t>Europe/Paris</t>
        </is>
      </c>
      <c r="L561" s="9" t="inlineStr">
        <is>
          <t>Flandre</t>
        </is>
      </c>
      <c r="M561" s="9" t="inlineStr">
        <is>
          <t>Belgique</t>
        </is>
      </c>
      <c r="N561" s="9" t="inlineStr">
        <is>
          <t>Hommes</t>
        </is>
      </c>
      <c r="O561" s="9" t="inlineStr">
        <is>
          <t>Officiel</t>
        </is>
      </c>
      <c r="P561" s="9" t="inlineStr">
        <is>
          <t>Oui</t>
        </is>
      </c>
      <c r="Q561" s="9" t="inlineStr">
        <is>
          <t>https://www.domestiquecycling.com/en/2027-uci-worldtour-calendar/</t>
        </is>
      </c>
      <c r="R561" s="10" t="n">
        <v>46311</v>
      </c>
      <c r="S561" s="9" t="inlineStr">
        <is>
          <t>Dwars door Vlaanderen</t>
        </is>
      </c>
      <c r="T561" s="9">
        <f>IF(H561="","",IF(MAX(H561,I561)&lt;TODAY(),"Terminé",IF(H561&lt;=TODAY(),"En cours","À venir")))</f>
        <v/>
      </c>
    </row>
    <row r="562">
      <c r="A562" s="9" t="inlineStr">
        <is>
          <t>UCI-2027-014</t>
        </is>
      </c>
      <c r="B562" s="9" t="inlineStr">
        <is>
          <t>Cyclisme sur route</t>
        </is>
      </c>
      <c r="C562" s="9" t="inlineStr">
        <is>
          <t>UCI WorldTour</t>
        </is>
      </c>
      <c r="D562" s="9" t="inlineStr">
        <is>
          <t>2027</t>
        </is>
      </c>
      <c r="E562" s="9" t="inlineStr">
        <is>
          <t>Course d'un jour</t>
        </is>
      </c>
      <c r="F562" s="9" t="n"/>
      <c r="G562" s="9" t="inlineStr">
        <is>
          <t>Tour des Flandres</t>
        </is>
      </c>
      <c r="H562" s="10" t="n">
        <v>46481</v>
      </c>
      <c r="I562" s="10" t="n">
        <v>46481</v>
      </c>
      <c r="J562" s="11" t="n"/>
      <c r="K562" s="9" t="inlineStr">
        <is>
          <t>Europe/Paris</t>
        </is>
      </c>
      <c r="L562" s="9" t="inlineStr">
        <is>
          <t>Flandre</t>
        </is>
      </c>
      <c r="M562" s="9" t="inlineStr">
        <is>
          <t>Belgique</t>
        </is>
      </c>
      <c r="N562" s="9" t="inlineStr">
        <is>
          <t>Hommes</t>
        </is>
      </c>
      <c r="O562" s="9" t="inlineStr">
        <is>
          <t>Officiel</t>
        </is>
      </c>
      <c r="P562" s="9" t="inlineStr">
        <is>
          <t>Oui</t>
        </is>
      </c>
      <c r="Q562" s="9" t="inlineStr">
        <is>
          <t>https://www.domestiquecycling.com/en/news/uci-confirms-2027-worldtour-calendars-as-vuelta-espana-femenina-moves-to-september/</t>
        </is>
      </c>
      <c r="R562" s="10" t="n">
        <v>46311</v>
      </c>
      <c r="S562" s="9" t="inlineStr">
        <is>
          <t>Monument</t>
        </is>
      </c>
      <c r="T562" s="9">
        <f>IF(H562="","",IF(MAX(H562,I562)&lt;TODAY(),"Terminé",IF(H562&lt;=TODAY(),"En cours","À venir")))</f>
        <v/>
      </c>
    </row>
    <row r="563">
      <c r="A563" s="9" t="inlineStr">
        <is>
          <t>UCI-2027-015</t>
        </is>
      </c>
      <c r="B563" s="9" t="inlineStr">
        <is>
          <t>Cyclisme sur route</t>
        </is>
      </c>
      <c r="C563" s="9" t="inlineStr">
        <is>
          <t>UCI WorldTour</t>
        </is>
      </c>
      <c r="D563" s="9" t="inlineStr">
        <is>
          <t>2027</t>
        </is>
      </c>
      <c r="E563" s="9" t="inlineStr">
        <is>
          <t>Course par étapes</t>
        </is>
      </c>
      <c r="F563" s="9" t="n"/>
      <c r="G563" s="9" t="inlineStr">
        <is>
          <t>Tour du Pays basque</t>
        </is>
      </c>
      <c r="H563" s="10" t="n">
        <v>46482</v>
      </c>
      <c r="I563" s="10" t="n">
        <v>46487</v>
      </c>
      <c r="J563" s="11" t="n"/>
      <c r="K563" s="9" t="inlineStr">
        <is>
          <t>Europe/Paris</t>
        </is>
      </c>
      <c r="L563" s="9" t="inlineStr">
        <is>
          <t>Pays basque</t>
        </is>
      </c>
      <c r="M563" s="9" t="inlineStr">
        <is>
          <t>Espagne</t>
        </is>
      </c>
      <c r="N563" s="9" t="inlineStr">
        <is>
          <t>Hommes</t>
        </is>
      </c>
      <c r="O563" s="9" t="inlineStr">
        <is>
          <t>Officiel</t>
        </is>
      </c>
      <c r="P563" s="9" t="inlineStr">
        <is>
          <t>Oui</t>
        </is>
      </c>
      <c r="Q563" s="9" t="inlineStr">
        <is>
          <t>https://www.domestiquecycling.com/en/2027-uci-worldtour-calendar/</t>
        </is>
      </c>
      <c r="R563" s="10" t="n">
        <v>46311</v>
      </c>
      <c r="S563" s="9" t="inlineStr">
        <is>
          <t>Itzulia ; 6 jours de course</t>
        </is>
      </c>
      <c r="T563" s="9">
        <f>IF(H563="","",IF(MAX(H563,I563)&lt;TODAY(),"Terminé",IF(H563&lt;=TODAY(),"En cours","À venir")))</f>
        <v/>
      </c>
    </row>
    <row r="564">
      <c r="A564" s="9" t="inlineStr">
        <is>
          <t>UCI-2027-016</t>
        </is>
      </c>
      <c r="B564" s="9" t="inlineStr">
        <is>
          <t>Cyclisme sur route</t>
        </is>
      </c>
      <c r="C564" s="9" t="inlineStr">
        <is>
          <t>UCI WorldTour</t>
        </is>
      </c>
      <c r="D564" s="9" t="inlineStr">
        <is>
          <t>2027</t>
        </is>
      </c>
      <c r="E564" s="9" t="inlineStr">
        <is>
          <t>Course d'un jour</t>
        </is>
      </c>
      <c r="F564" s="9" t="n"/>
      <c r="G564" s="9" t="inlineStr">
        <is>
          <t>Paris-Roubaix</t>
        </is>
      </c>
      <c r="H564" s="10" t="n">
        <v>46488</v>
      </c>
      <c r="I564" s="10" t="n">
        <v>46488</v>
      </c>
      <c r="J564" s="11" t="n"/>
      <c r="K564" s="9" t="inlineStr">
        <is>
          <t>Europe/Paris</t>
        </is>
      </c>
      <c r="L564" s="9" t="inlineStr">
        <is>
          <t>Hauts-de-France</t>
        </is>
      </c>
      <c r="M564" s="9" t="inlineStr">
        <is>
          <t>France</t>
        </is>
      </c>
      <c r="N564" s="9" t="inlineStr">
        <is>
          <t>Hommes</t>
        </is>
      </c>
      <c r="O564" s="9" t="inlineStr">
        <is>
          <t>Officiel</t>
        </is>
      </c>
      <c r="P564" s="9" t="inlineStr">
        <is>
          <t>Oui</t>
        </is>
      </c>
      <c r="Q564" s="9" t="inlineStr">
        <is>
          <t>https://www.domestiquecycling.com/en/news/uci-confirms-2027-worldtour-calendars-as-vuelta-espana-femenina-moves-to-september/</t>
        </is>
      </c>
      <c r="R564" s="10" t="n">
        <v>46311</v>
      </c>
      <c r="S564" s="9" t="inlineStr">
        <is>
          <t>Monument ; arrivée Roubaix</t>
        </is>
      </c>
      <c r="T564" s="9">
        <f>IF(H564="","",IF(MAX(H564,I564)&lt;TODAY(),"Terminé",IF(H564&lt;=TODAY(),"En cours","À venir")))</f>
        <v/>
      </c>
    </row>
    <row r="565">
      <c r="A565" s="9" t="inlineStr">
        <is>
          <t>UCI-2027-017</t>
        </is>
      </c>
      <c r="B565" s="9" t="inlineStr">
        <is>
          <t>Cyclisme sur route</t>
        </is>
      </c>
      <c r="C565" s="9" t="inlineStr">
        <is>
          <t>UCI WorldTour</t>
        </is>
      </c>
      <c r="D565" s="9" t="inlineStr">
        <is>
          <t>2027</t>
        </is>
      </c>
      <c r="E565" s="9" t="inlineStr">
        <is>
          <t>Course d'un jour</t>
        </is>
      </c>
      <c r="F565" s="9" t="n"/>
      <c r="G565" s="9" t="inlineStr">
        <is>
          <t>Amstel Gold Race</t>
        </is>
      </c>
      <c r="H565" s="10" t="n">
        <v>46495</v>
      </c>
      <c r="I565" s="10" t="n">
        <v>46495</v>
      </c>
      <c r="J565" s="11" t="n"/>
      <c r="K565" s="9" t="inlineStr">
        <is>
          <t>Europe/Paris</t>
        </is>
      </c>
      <c r="L565" s="9" t="inlineStr">
        <is>
          <t>Limbourg</t>
        </is>
      </c>
      <c r="M565" s="9" t="inlineStr">
        <is>
          <t>Pays-Bas</t>
        </is>
      </c>
      <c r="N565" s="9" t="inlineStr">
        <is>
          <t>Hommes</t>
        </is>
      </c>
      <c r="O565" s="9" t="inlineStr">
        <is>
          <t>Officiel</t>
        </is>
      </c>
      <c r="P565" s="9" t="inlineStr">
        <is>
          <t>Oui</t>
        </is>
      </c>
      <c r="Q565" s="9" t="inlineStr">
        <is>
          <t>https://www.domestiquecycling.com/en/2027-uci-worldtour-calendar/</t>
        </is>
      </c>
      <c r="R565" s="10" t="n">
        <v>46311</v>
      </c>
      <c r="S565" s="9" t="n"/>
      <c r="T565" s="9">
        <f>IF(H565="","",IF(MAX(H565,I565)&lt;TODAY(),"Terminé",IF(H565&lt;=TODAY(),"En cours","À venir")))</f>
        <v/>
      </c>
    </row>
    <row r="566">
      <c r="A566" s="9" t="inlineStr">
        <is>
          <t>UCI-2027-018</t>
        </is>
      </c>
      <c r="B566" s="9" t="inlineStr">
        <is>
          <t>Cyclisme sur route</t>
        </is>
      </c>
      <c r="C566" s="9" t="inlineStr">
        <is>
          <t>UCI WorldTour</t>
        </is>
      </c>
      <c r="D566" s="9" t="inlineStr">
        <is>
          <t>2027</t>
        </is>
      </c>
      <c r="E566" s="9" t="inlineStr">
        <is>
          <t>Course d'un jour</t>
        </is>
      </c>
      <c r="F566" s="9" t="n"/>
      <c r="G566" s="9" t="inlineStr">
        <is>
          <t>Flèche wallonne</t>
        </is>
      </c>
      <c r="H566" s="10" t="n">
        <v>46498</v>
      </c>
      <c r="I566" s="10" t="n">
        <v>46498</v>
      </c>
      <c r="J566" s="11" t="n"/>
      <c r="K566" s="9" t="inlineStr">
        <is>
          <t>Europe/Paris</t>
        </is>
      </c>
      <c r="L566" s="9" t="inlineStr">
        <is>
          <t>Wallonie</t>
        </is>
      </c>
      <c r="M566" s="9" t="inlineStr">
        <is>
          <t>Belgique</t>
        </is>
      </c>
      <c r="N566" s="9" t="inlineStr">
        <is>
          <t>Hommes</t>
        </is>
      </c>
      <c r="O566" s="9" t="inlineStr">
        <is>
          <t>Officiel</t>
        </is>
      </c>
      <c r="P566" s="9" t="inlineStr">
        <is>
          <t>Oui</t>
        </is>
      </c>
      <c r="Q566" s="9" t="inlineStr">
        <is>
          <t>https://www.domestiquecycling.com/en/2027-uci-worldtour-calendar/</t>
        </is>
      </c>
      <c r="R566" s="10" t="n">
        <v>46311</v>
      </c>
      <c r="S566" s="9" t="inlineStr">
        <is>
          <t>Arrivée au Mur de Huy</t>
        </is>
      </c>
      <c r="T566" s="9">
        <f>IF(H566="","",IF(MAX(H566,I566)&lt;TODAY(),"Terminé",IF(H566&lt;=TODAY(),"En cours","À venir")))</f>
        <v/>
      </c>
    </row>
    <row r="567">
      <c r="A567" s="9" t="inlineStr">
        <is>
          <t>UCI-2027-019</t>
        </is>
      </c>
      <c r="B567" s="9" t="inlineStr">
        <is>
          <t>Cyclisme sur route</t>
        </is>
      </c>
      <c r="C567" s="9" t="inlineStr">
        <is>
          <t>UCI WorldTour</t>
        </is>
      </c>
      <c r="D567" s="9" t="inlineStr">
        <is>
          <t>2027</t>
        </is>
      </c>
      <c r="E567" s="9" t="inlineStr">
        <is>
          <t>Course d'un jour</t>
        </is>
      </c>
      <c r="F567" s="9" t="n"/>
      <c r="G567" s="9" t="inlineStr">
        <is>
          <t>Liège-Bastogne-Liège</t>
        </is>
      </c>
      <c r="H567" s="10" t="n">
        <v>46502</v>
      </c>
      <c r="I567" s="10" t="n">
        <v>46502</v>
      </c>
      <c r="J567" s="11" t="n"/>
      <c r="K567" s="9" t="inlineStr">
        <is>
          <t>Europe/Paris</t>
        </is>
      </c>
      <c r="L567" s="9" t="inlineStr">
        <is>
          <t>Liège</t>
        </is>
      </c>
      <c r="M567" s="9" t="inlineStr">
        <is>
          <t>Belgique</t>
        </is>
      </c>
      <c r="N567" s="9" t="inlineStr">
        <is>
          <t>Hommes</t>
        </is>
      </c>
      <c r="O567" s="9" t="inlineStr">
        <is>
          <t>Officiel</t>
        </is>
      </c>
      <c r="P567" s="9" t="inlineStr">
        <is>
          <t>Oui</t>
        </is>
      </c>
      <c r="Q567" s="9" t="inlineStr">
        <is>
          <t>https://www.domestiquecycling.com/en/news/uci-confirms-2027-worldtour-calendars-as-vuelta-espana-femenina-moves-to-september/</t>
        </is>
      </c>
      <c r="R567" s="10" t="n">
        <v>46311</v>
      </c>
      <c r="S567" s="9" t="inlineStr">
        <is>
          <t>Monument</t>
        </is>
      </c>
      <c r="T567" s="9">
        <f>IF(H567="","",IF(MAX(H567,I567)&lt;TODAY(),"Terminé",IF(H567&lt;=TODAY(),"En cours","À venir")))</f>
        <v/>
      </c>
    </row>
    <row r="568">
      <c r="A568" s="9" t="inlineStr">
        <is>
          <t>UCI-2027-020</t>
        </is>
      </c>
      <c r="B568" s="9" t="inlineStr">
        <is>
          <t>Cyclisme sur route</t>
        </is>
      </c>
      <c r="C568" s="9" t="inlineStr">
        <is>
          <t>UCI WorldTour</t>
        </is>
      </c>
      <c r="D568" s="9" t="inlineStr">
        <is>
          <t>2027</t>
        </is>
      </c>
      <c r="E568" s="9" t="inlineStr">
        <is>
          <t>Course par étapes</t>
        </is>
      </c>
      <c r="F568" s="9" t="n"/>
      <c r="G568" s="9" t="inlineStr">
        <is>
          <t>Tour de Romandie</t>
        </is>
      </c>
      <c r="H568" s="10" t="n">
        <v>46504</v>
      </c>
      <c r="I568" s="10" t="n">
        <v>46509</v>
      </c>
      <c r="J568" s="11" t="n"/>
      <c r="K568" s="9" t="inlineStr">
        <is>
          <t>Europe/Paris</t>
        </is>
      </c>
      <c r="L568" s="9" t="inlineStr">
        <is>
          <t>Romandie</t>
        </is>
      </c>
      <c r="M568" s="9" t="inlineStr">
        <is>
          <t>Suisse</t>
        </is>
      </c>
      <c r="N568" s="9" t="inlineStr">
        <is>
          <t>Hommes</t>
        </is>
      </c>
      <c r="O568" s="9" t="inlineStr">
        <is>
          <t>Officiel</t>
        </is>
      </c>
      <c r="P568" s="9" t="inlineStr">
        <is>
          <t>Oui</t>
        </is>
      </c>
      <c r="Q568" s="9" t="inlineStr">
        <is>
          <t>https://www.domestiquecycling.com/en/2027-uci-worldtour-calendar/</t>
        </is>
      </c>
      <c r="R568" s="10" t="n">
        <v>46311</v>
      </c>
      <c r="S568" s="9" t="inlineStr">
        <is>
          <t>6 jours de course</t>
        </is>
      </c>
      <c r="T568" s="9">
        <f>IF(H568="","",IF(MAX(H568,I568)&lt;TODAY(),"Terminé",IF(H568&lt;=TODAY(),"En cours","À venir")))</f>
        <v/>
      </c>
    </row>
    <row r="569">
      <c r="A569" s="9" t="inlineStr">
        <is>
          <t>UCI-2027-021</t>
        </is>
      </c>
      <c r="B569" s="9" t="inlineStr">
        <is>
          <t>Cyclisme sur route</t>
        </is>
      </c>
      <c r="C569" s="9" t="inlineStr">
        <is>
          <t>UCI WorldTour</t>
        </is>
      </c>
      <c r="D569" s="9" t="inlineStr">
        <is>
          <t>2027</t>
        </is>
      </c>
      <c r="E569" s="9" t="inlineStr">
        <is>
          <t>Course d'un jour</t>
        </is>
      </c>
      <c r="F569" s="9" t="n"/>
      <c r="G569" s="9" t="inlineStr">
        <is>
          <t>Eschborn-Francfort</t>
        </is>
      </c>
      <c r="H569" s="10" t="n">
        <v>46508</v>
      </c>
      <c r="I569" s="10" t="n">
        <v>46508</v>
      </c>
      <c r="J569" s="11" t="n"/>
      <c r="K569" s="9" t="inlineStr">
        <is>
          <t>Europe/Paris</t>
        </is>
      </c>
      <c r="L569" s="9" t="inlineStr">
        <is>
          <t>Eschborn</t>
        </is>
      </c>
      <c r="M569" s="9" t="inlineStr">
        <is>
          <t>Allemagne</t>
        </is>
      </c>
      <c r="N569" s="9" t="inlineStr">
        <is>
          <t>Hommes</t>
        </is>
      </c>
      <c r="O569" s="9" t="inlineStr">
        <is>
          <t>Officiel</t>
        </is>
      </c>
      <c r="P569" s="9" t="inlineStr">
        <is>
          <t>Oui</t>
        </is>
      </c>
      <c r="Q569" s="9" t="inlineStr">
        <is>
          <t>https://www.tour-magazin.de/en/professional-cycling/day-race/uci-worldtour-2027-eschborn-frankfurt-no-longer-on-1-may-or-is-it/</t>
        </is>
      </c>
      <c r="R569" s="10" t="n">
        <v>46311</v>
      </c>
      <c r="S569" s="9" t="inlineStr">
        <is>
          <t>Calendrier UCI initial : 2 mai (coquille selon l'organisateur ASO) ; 1er mai confirmé par l'organisateur</t>
        </is>
      </c>
      <c r="T569" s="9">
        <f>IF(H569="","",IF(MAX(H569,I569)&lt;TODAY(),"Terminé",IF(H569&lt;=TODAY(),"En cours","À venir")))</f>
        <v/>
      </c>
    </row>
    <row r="570">
      <c r="A570" s="9" t="inlineStr">
        <is>
          <t>UCI-2027-022</t>
        </is>
      </c>
      <c r="B570" s="9" t="inlineStr">
        <is>
          <t>Cyclisme sur route</t>
        </is>
      </c>
      <c r="C570" s="9" t="inlineStr">
        <is>
          <t>UCI WorldTour</t>
        </is>
      </c>
      <c r="D570" s="9" t="inlineStr">
        <is>
          <t>2027</t>
        </is>
      </c>
      <c r="E570" s="9" t="inlineStr">
        <is>
          <t>Grand Tour</t>
        </is>
      </c>
      <c r="F570" s="9" t="n"/>
      <c r="G570" s="9" t="inlineStr">
        <is>
          <t>Tour d'Italie</t>
        </is>
      </c>
      <c r="H570" s="10" t="n">
        <v>46515</v>
      </c>
      <c r="I570" s="10" t="n">
        <v>46537</v>
      </c>
      <c r="J570" s="11" t="n"/>
      <c r="K570" s="9" t="inlineStr">
        <is>
          <t>Europe/Paris</t>
        </is>
      </c>
      <c r="L570" s="9" t="inlineStr">
        <is>
          <t>Trieste</t>
        </is>
      </c>
      <c r="M570" s="9" t="inlineStr">
        <is>
          <t>Italie</t>
        </is>
      </c>
      <c r="N570" s="9" t="inlineStr">
        <is>
          <t>Hommes</t>
        </is>
      </c>
      <c r="O570" s="9" t="inlineStr">
        <is>
          <t>Officiel</t>
        </is>
      </c>
      <c r="P570" s="9" t="inlineStr">
        <is>
          <t>Oui</t>
        </is>
      </c>
      <c r="Q570" s="9" t="inlineStr">
        <is>
          <t>https://www.oasport.it/2026/10/quale-sara-il-percorso-del-giro-ditalia-2027-zoncolan-e-mortirolo-in-pole-position-annunciata-la-presentazione/</t>
        </is>
      </c>
      <c r="R570" s="10" t="n">
        <v>46311</v>
      </c>
      <c r="S570" s="9" t="inlineStr">
        <is>
          <t>21 étapes ; Grande Partenza à Trieste annoncée par RCS (U. Cairo), accord avec la région pas encore formalisé ; arrivée Rome ; parcours présenté le 3 novembre 2026</t>
        </is>
      </c>
      <c r="T570" s="9">
        <f>IF(H570="","",IF(MAX(H570,I570)&lt;TODAY(),"Terminé",IF(H570&lt;=TODAY(),"En cours","À venir")))</f>
        <v/>
      </c>
    </row>
    <row r="571">
      <c r="A571" s="9" t="inlineStr">
        <is>
          <t>UCI-2027-023</t>
        </is>
      </c>
      <c r="B571" s="9" t="inlineStr">
        <is>
          <t>Cyclisme sur route</t>
        </is>
      </c>
      <c r="C571" s="9" t="inlineStr">
        <is>
          <t>UCI WorldTour</t>
        </is>
      </c>
      <c r="D571" s="9" t="inlineStr">
        <is>
          <t>2027</t>
        </is>
      </c>
      <c r="E571" s="9" t="inlineStr">
        <is>
          <t>Course par étapes</t>
        </is>
      </c>
      <c r="F571" s="9" t="n"/>
      <c r="G571" s="9" t="inlineStr">
        <is>
          <t>Tour Auvergne-Rhône-Alpes (ex-Critérium du Dauphiné)</t>
        </is>
      </c>
      <c r="H571" s="10" t="n">
        <v>46544</v>
      </c>
      <c r="I571" s="10" t="n">
        <v>46551</v>
      </c>
      <c r="J571" s="11" t="n"/>
      <c r="K571" s="9" t="inlineStr">
        <is>
          <t>Europe/Paris</t>
        </is>
      </c>
      <c r="L571" s="9" t="inlineStr">
        <is>
          <t>Auvergne-Rhône-Alpes</t>
        </is>
      </c>
      <c r="M571" s="9" t="inlineStr">
        <is>
          <t>France</t>
        </is>
      </c>
      <c r="N571" s="9" t="inlineStr">
        <is>
          <t>Hommes</t>
        </is>
      </c>
      <c r="O571" s="9" t="inlineStr">
        <is>
          <t>Officiel</t>
        </is>
      </c>
      <c r="P571" s="9" t="inlineStr">
        <is>
          <t>Oui</t>
        </is>
      </c>
      <c r="Q571" s="9" t="inlineStr">
        <is>
          <t>https://www.domestiquecycling.com/en/news/uci-confirms-2027-worldtour-calendars-as-vuelta-espana-femenina-moves-to-september/</t>
        </is>
      </c>
      <c r="R571" s="10" t="n">
        <v>46311</v>
      </c>
      <c r="S571" s="9" t="inlineStr">
        <is>
          <t>8 jours de course</t>
        </is>
      </c>
      <c r="T571" s="9">
        <f>IF(H571="","",IF(MAX(H571,I571)&lt;TODAY(),"Terminé",IF(H571&lt;=TODAY(),"En cours","À venir")))</f>
        <v/>
      </c>
    </row>
    <row r="572">
      <c r="A572" s="9" t="inlineStr">
        <is>
          <t>UCI-2027-024</t>
        </is>
      </c>
      <c r="B572" s="9" t="inlineStr">
        <is>
          <t>Cyclisme sur route</t>
        </is>
      </c>
      <c r="C572" s="9" t="inlineStr">
        <is>
          <t>UCI WorldTour</t>
        </is>
      </c>
      <c r="D572" s="9" t="inlineStr">
        <is>
          <t>2027</t>
        </is>
      </c>
      <c r="E572" s="9" t="inlineStr">
        <is>
          <t>Course d'un jour</t>
        </is>
      </c>
      <c r="F572" s="9" t="n"/>
      <c r="G572" s="9" t="inlineStr">
        <is>
          <t>Copenhagen Sprint</t>
        </is>
      </c>
      <c r="H572" s="10" t="n">
        <v>46551</v>
      </c>
      <c r="I572" s="10" t="n">
        <v>46551</v>
      </c>
      <c r="J572" s="11" t="n"/>
      <c r="K572" s="9" t="inlineStr">
        <is>
          <t>Europe/Paris</t>
        </is>
      </c>
      <c r="L572" s="9" t="inlineStr">
        <is>
          <t>Copenhague</t>
        </is>
      </c>
      <c r="M572" s="9" t="inlineStr">
        <is>
          <t>Danemark</t>
        </is>
      </c>
      <c r="N572" s="9" t="inlineStr">
        <is>
          <t>Hommes</t>
        </is>
      </c>
      <c r="O572" s="9" t="inlineStr">
        <is>
          <t>Officiel</t>
        </is>
      </c>
      <c r="P572" s="9" t="inlineStr">
        <is>
          <t>Oui</t>
        </is>
      </c>
      <c r="Q572" s="9" t="inlineStr">
        <is>
          <t>https://www.domestiquecycling.com/en/2027-uci-worldtour-calendar/</t>
        </is>
      </c>
      <c r="R572" s="10" t="n">
        <v>46311</v>
      </c>
      <c r="S572" s="9" t="n"/>
      <c r="T572" s="9">
        <f>IF(H572="","",IF(MAX(H572,I572)&lt;TODAY(),"Terminé",IF(H572&lt;=TODAY(),"En cours","À venir")))</f>
        <v/>
      </c>
    </row>
    <row r="573">
      <c r="A573" s="9" t="inlineStr">
        <is>
          <t>UCI-2027-025</t>
        </is>
      </c>
      <c r="B573" s="9" t="inlineStr">
        <is>
          <t>Cyclisme sur route</t>
        </is>
      </c>
      <c r="C573" s="9" t="inlineStr">
        <is>
          <t>UCI WorldTour</t>
        </is>
      </c>
      <c r="D573" s="9" t="inlineStr">
        <is>
          <t>2027</t>
        </is>
      </c>
      <c r="E573" s="9" t="inlineStr">
        <is>
          <t>Course par étapes</t>
        </is>
      </c>
      <c r="F573" s="9" t="n"/>
      <c r="G573" s="9" t="inlineStr">
        <is>
          <t>Tour de Suisse</t>
        </is>
      </c>
      <c r="H573" s="10" t="n">
        <v>46554</v>
      </c>
      <c r="I573" s="10" t="n">
        <v>46558</v>
      </c>
      <c r="J573" s="11" t="n"/>
      <c r="K573" s="9" t="inlineStr">
        <is>
          <t>Europe/Paris</t>
        </is>
      </c>
      <c r="L573" s="9" t="inlineStr">
        <is>
          <t>Suisse</t>
        </is>
      </c>
      <c r="M573" s="9" t="inlineStr">
        <is>
          <t>Suisse</t>
        </is>
      </c>
      <c r="N573" s="9" t="inlineStr">
        <is>
          <t>Hommes</t>
        </is>
      </c>
      <c r="O573" s="9" t="inlineStr">
        <is>
          <t>Officiel</t>
        </is>
      </c>
      <c r="P573" s="9" t="inlineStr">
        <is>
          <t>Oui</t>
        </is>
      </c>
      <c r="Q573" s="9" t="inlineStr">
        <is>
          <t>https://www.domestiquecycling.com/en/2027-uci-worldtour-calendar/</t>
        </is>
      </c>
      <c r="R573" s="10" t="n">
        <v>46311</v>
      </c>
      <c r="S573" s="9" t="inlineStr">
        <is>
          <t>5 jours de course ; final prévu à Vaduz (Liechtenstein) selon la presse</t>
        </is>
      </c>
      <c r="T573" s="9">
        <f>IF(H573="","",IF(MAX(H573,I573)&lt;TODAY(),"Terminé",IF(H573&lt;=TODAY(),"En cours","À venir")))</f>
        <v/>
      </c>
    </row>
    <row r="574">
      <c r="A574" s="9" t="inlineStr">
        <is>
          <t>UCI-2027-026</t>
        </is>
      </c>
      <c r="B574" s="9" t="inlineStr">
        <is>
          <t>Cyclisme sur route</t>
        </is>
      </c>
      <c r="C574" s="9" t="inlineStr">
        <is>
          <t>UCI WorldTour</t>
        </is>
      </c>
      <c r="D574" s="9" t="inlineStr">
        <is>
          <t>2027</t>
        </is>
      </c>
      <c r="E574" s="9" t="inlineStr">
        <is>
          <t>Grand Tour</t>
        </is>
      </c>
      <c r="F574" s="9" t="n"/>
      <c r="G574" s="9" t="inlineStr">
        <is>
          <t>Tour de France</t>
        </is>
      </c>
      <c r="H574" s="10" t="n">
        <v>46570</v>
      </c>
      <c r="I574" s="10" t="n">
        <v>46593</v>
      </c>
      <c r="J574" s="11" t="n"/>
      <c r="K574" s="9" t="inlineStr">
        <is>
          <t>Europe/Paris</t>
        </is>
      </c>
      <c r="L574" s="9" t="inlineStr">
        <is>
          <t>Édimbourg</t>
        </is>
      </c>
      <c r="M574" s="9" t="inlineStr">
        <is>
          <t>Royaume-Uni</t>
        </is>
      </c>
      <c r="N574" s="9" t="inlineStr">
        <is>
          <t>Hommes</t>
        </is>
      </c>
      <c r="O574" s="9" t="inlineStr">
        <is>
          <t>Officiel</t>
        </is>
      </c>
      <c r="P574" s="9" t="inlineStr">
        <is>
          <t>Oui</t>
        </is>
      </c>
      <c r="Q574" s="9" t="inlineStr">
        <is>
          <t>https://www.edinburgh.gov.uk/news/article/14173/edinburgh-to-host-tour-de-france-grand-d-part-2027</t>
        </is>
      </c>
      <c r="R574" s="10" t="n">
        <v>46311</v>
      </c>
      <c r="S574" s="9" t="inlineStr">
        <is>
          <t>21 étapes ; Grand Départ d'Édimbourg (Écosse), 1re étape Édimbourg -&gt; Carlisle ; arrivée Paris</t>
        </is>
      </c>
      <c r="T574" s="9">
        <f>IF(H574="","",IF(MAX(H574,I574)&lt;TODAY(),"Terminé",IF(H574&lt;=TODAY(),"En cours","À venir")))</f>
        <v/>
      </c>
    </row>
    <row r="575">
      <c r="A575" s="9" t="inlineStr">
        <is>
          <t>UCI-2027-027</t>
        </is>
      </c>
      <c r="B575" s="9" t="inlineStr">
        <is>
          <t>Cyclisme sur route</t>
        </is>
      </c>
      <c r="C575" s="9" t="inlineStr">
        <is>
          <t>UCI WorldTour</t>
        </is>
      </c>
      <c r="D575" s="9" t="inlineStr">
        <is>
          <t>2027</t>
        </is>
      </c>
      <c r="E575" s="9" t="inlineStr">
        <is>
          <t>Course d'un jour</t>
        </is>
      </c>
      <c r="F575" s="9" t="n"/>
      <c r="G575" s="9" t="inlineStr">
        <is>
          <t>Clásica San Sebastián</t>
        </is>
      </c>
      <c r="H575" s="10" t="n">
        <v>46599</v>
      </c>
      <c r="I575" s="10" t="n">
        <v>46599</v>
      </c>
      <c r="J575" s="11" t="n"/>
      <c r="K575" s="9" t="inlineStr">
        <is>
          <t>Europe/Paris</t>
        </is>
      </c>
      <c r="L575" s="9" t="inlineStr">
        <is>
          <t>Saint-Sébastien</t>
        </is>
      </c>
      <c r="M575" s="9" t="inlineStr">
        <is>
          <t>Espagne</t>
        </is>
      </c>
      <c r="N575" s="9" t="inlineStr">
        <is>
          <t>Hommes</t>
        </is>
      </c>
      <c r="O575" s="9" t="inlineStr">
        <is>
          <t>Officiel</t>
        </is>
      </c>
      <c r="P575" s="9" t="inlineStr">
        <is>
          <t>Oui</t>
        </is>
      </c>
      <c r="Q575" s="9" t="inlineStr">
        <is>
          <t>https://www.domestiquecycling.com/en/2027-uci-worldtour-calendar/</t>
        </is>
      </c>
      <c r="R575" s="10" t="n">
        <v>46311</v>
      </c>
      <c r="S575" s="9" t="inlineStr">
        <is>
          <t>Donostia San Sebastián Klasikoa</t>
        </is>
      </c>
      <c r="T575" s="9">
        <f>IF(H575="","",IF(MAX(H575,I575)&lt;TODAY(),"Terminé",IF(H575&lt;=TODAY(),"En cours","À venir")))</f>
        <v/>
      </c>
    </row>
    <row r="576">
      <c r="A576" s="9" t="inlineStr">
        <is>
          <t>UCI-2027-028</t>
        </is>
      </c>
      <c r="B576" s="9" t="inlineStr">
        <is>
          <t>Cyclisme sur route</t>
        </is>
      </c>
      <c r="C576" s="9" t="inlineStr">
        <is>
          <t>UCI WorldTour</t>
        </is>
      </c>
      <c r="D576" s="9" t="inlineStr">
        <is>
          <t>2027</t>
        </is>
      </c>
      <c r="E576" s="9" t="inlineStr">
        <is>
          <t>Course par étapes</t>
        </is>
      </c>
      <c r="F576" s="9" t="n"/>
      <c r="G576" s="9" t="inlineStr">
        <is>
          <t>Tour de Pologne</t>
        </is>
      </c>
      <c r="H576" s="10" t="n">
        <v>46601</v>
      </c>
      <c r="I576" s="10" t="n">
        <v>46607</v>
      </c>
      <c r="J576" s="11" t="n"/>
      <c r="K576" s="9" t="inlineStr">
        <is>
          <t>Europe/Paris</t>
        </is>
      </c>
      <c r="L576" s="9" t="inlineStr">
        <is>
          <t>Pologne</t>
        </is>
      </c>
      <c r="M576" s="9" t="inlineStr">
        <is>
          <t>Pologne</t>
        </is>
      </c>
      <c r="N576" s="9" t="inlineStr">
        <is>
          <t>Hommes</t>
        </is>
      </c>
      <c r="O576" s="9" t="inlineStr">
        <is>
          <t>Officiel</t>
        </is>
      </c>
      <c r="P576" s="9" t="inlineStr">
        <is>
          <t>Oui</t>
        </is>
      </c>
      <c r="Q576" s="9" t="inlineStr">
        <is>
          <t>https://www.domestiquecycling.com/en/2027-uci-worldtour-calendar/</t>
        </is>
      </c>
      <c r="R576" s="10" t="n">
        <v>46311</v>
      </c>
      <c r="S576" s="9" t="inlineStr">
        <is>
          <t>7 jours de course</t>
        </is>
      </c>
      <c r="T576" s="9">
        <f>IF(H576="","",IF(MAX(H576,I576)&lt;TODAY(),"Terminé",IF(H576&lt;=TODAY(),"En cours","À venir")))</f>
        <v/>
      </c>
    </row>
    <row r="577">
      <c r="A577" s="9" t="inlineStr">
        <is>
          <t>UCI-2027-029</t>
        </is>
      </c>
      <c r="B577" s="9" t="inlineStr">
        <is>
          <t>Cyclisme sur route</t>
        </is>
      </c>
      <c r="C577" s="9" t="inlineStr">
        <is>
          <t>UCI WorldTour</t>
        </is>
      </c>
      <c r="D577" s="9" t="inlineStr">
        <is>
          <t>2027</t>
        </is>
      </c>
      <c r="E577" s="9" t="inlineStr">
        <is>
          <t>Course d'un jour</t>
        </is>
      </c>
      <c r="F577" s="9" t="n"/>
      <c r="G577" s="9" t="inlineStr">
        <is>
          <t>Cyclassics Hambourg</t>
        </is>
      </c>
      <c r="H577" s="10" t="n">
        <v>46614</v>
      </c>
      <c r="I577" s="10" t="n">
        <v>46614</v>
      </c>
      <c r="J577" s="11" t="n"/>
      <c r="K577" s="9" t="inlineStr">
        <is>
          <t>Europe/Paris</t>
        </is>
      </c>
      <c r="L577" s="9" t="inlineStr">
        <is>
          <t>Hambourg</t>
        </is>
      </c>
      <c r="M577" s="9" t="inlineStr">
        <is>
          <t>Allemagne</t>
        </is>
      </c>
      <c r="N577" s="9" t="inlineStr">
        <is>
          <t>Hommes</t>
        </is>
      </c>
      <c r="O577" s="9" t="inlineStr">
        <is>
          <t>Officiel</t>
        </is>
      </c>
      <c r="P577" s="9" t="inlineStr">
        <is>
          <t>Oui</t>
        </is>
      </c>
      <c r="Q577" s="9" t="inlineStr">
        <is>
          <t>https://www.domestiquecycling.com/en/2027-uci-worldtour-calendar/</t>
        </is>
      </c>
      <c r="R577" s="10" t="n">
        <v>46311</v>
      </c>
      <c r="S577" s="9" t="inlineStr">
        <is>
          <t>ADAC Cyclassics</t>
        </is>
      </c>
      <c r="T577" s="9">
        <f>IF(H577="","",IF(MAX(H577,I577)&lt;TODAY(),"Terminé",IF(H577&lt;=TODAY(),"En cours","À venir")))</f>
        <v/>
      </c>
    </row>
    <row r="578">
      <c r="A578" s="9" t="inlineStr">
        <is>
          <t>UCI-2027-030</t>
        </is>
      </c>
      <c r="B578" s="9" t="inlineStr">
        <is>
          <t>Cyclisme sur route</t>
        </is>
      </c>
      <c r="C578" s="9" t="inlineStr">
        <is>
          <t>UCI WorldTour</t>
        </is>
      </c>
      <c r="D578" s="9" t="inlineStr">
        <is>
          <t>2027</t>
        </is>
      </c>
      <c r="E578" s="9" t="inlineStr">
        <is>
          <t>Course par étapes</t>
        </is>
      </c>
      <c r="F578" s="9" t="n"/>
      <c r="G578" s="9" t="inlineStr">
        <is>
          <t>Renewi Tour</t>
        </is>
      </c>
      <c r="H578" s="10" t="n">
        <v>46617</v>
      </c>
      <c r="I578" s="10" t="n">
        <v>46621</v>
      </c>
      <c r="J578" s="11" t="n"/>
      <c r="K578" s="9" t="inlineStr">
        <is>
          <t>Europe/Paris</t>
        </is>
      </c>
      <c r="L578" s="9" t="inlineStr">
        <is>
          <t>Denekamp</t>
        </is>
      </c>
      <c r="M578" s="9" t="inlineStr">
        <is>
          <t>Pays-Bas</t>
        </is>
      </c>
      <c r="N578" s="9" t="inlineStr">
        <is>
          <t>Hommes</t>
        </is>
      </c>
      <c r="O578" s="9" t="inlineStr">
        <is>
          <t>Provisoire</t>
        </is>
      </c>
      <c r="P578" s="9" t="inlineStr">
        <is>
          <t>Oui</t>
        </is>
      </c>
      <c r="Q578" s="9" t="inlineStr">
        <is>
          <t>https://www.wielerflits.nl/?p=1262806</t>
        </is>
      </c>
      <c r="R578" s="10" t="n">
        <v>46311</v>
      </c>
      <c r="S578" s="9" t="inlineStr">
        <is>
          <t>Prologue à Denekamp le 18/08 (presse) ; date de fin 22/08 selon agrégateurs, non confirmée par l'organisateur</t>
        </is>
      </c>
      <c r="T578" s="9">
        <f>IF(H578="","",IF(MAX(H578,I578)&lt;TODAY(),"Terminé",IF(H578&lt;=TODAY(),"En cours","À venir")))</f>
        <v/>
      </c>
    </row>
    <row r="579">
      <c r="A579" s="9" t="inlineStr">
        <is>
          <t>UCI-2027-031</t>
        </is>
      </c>
      <c r="B579" s="9" t="inlineStr">
        <is>
          <t>Cyclisme sur route</t>
        </is>
      </c>
      <c r="C579" s="9" t="inlineStr">
        <is>
          <t>UCI WorldTour</t>
        </is>
      </c>
      <c r="D579" s="9" t="inlineStr">
        <is>
          <t>2027</t>
        </is>
      </c>
      <c r="E579" s="9" t="inlineStr">
        <is>
          <t>Course d'un jour</t>
        </is>
      </c>
      <c r="F579" s="9" t="n"/>
      <c r="G579" s="9" t="inlineStr">
        <is>
          <t>Bretagne Classic</t>
        </is>
      </c>
      <c r="H579" s="10" t="n">
        <v>46621</v>
      </c>
      <c r="I579" s="10" t="n">
        <v>46621</v>
      </c>
      <c r="J579" s="11" t="n"/>
      <c r="K579" s="9" t="inlineStr">
        <is>
          <t>Europe/Paris</t>
        </is>
      </c>
      <c r="L579" s="9" t="inlineStr">
        <is>
          <t>Plouay</t>
        </is>
      </c>
      <c r="M579" s="9" t="inlineStr">
        <is>
          <t>France</t>
        </is>
      </c>
      <c r="N579" s="9" t="inlineStr">
        <is>
          <t>Hommes</t>
        </is>
      </c>
      <c r="O579" s="9" t="inlineStr">
        <is>
          <t>Officiel</t>
        </is>
      </c>
      <c r="P579" s="9" t="inlineStr">
        <is>
          <t>Oui</t>
        </is>
      </c>
      <c r="Q579" s="9" t="inlineStr">
        <is>
          <t>https://sports.orange.fr/cyclisme/article/world-tour-h-le-calendrier-de-la-saison-2027-devoile-exclu-CNT000002pOMFE.html</t>
        </is>
      </c>
      <c r="R579" s="10" t="n">
        <v>46311</v>
      </c>
      <c r="S579" s="9" t="n"/>
      <c r="T579" s="9">
        <f>IF(H579="","",IF(MAX(H579,I579)&lt;TODAY(),"Terminé",IF(H579&lt;=TODAY(),"En cours","À venir")))</f>
        <v/>
      </c>
    </row>
    <row r="580">
      <c r="A580" s="9" t="inlineStr">
        <is>
          <t>UCI-2027-032</t>
        </is>
      </c>
      <c r="B580" s="9" t="inlineStr">
        <is>
          <t>Cyclisme sur route</t>
        </is>
      </c>
      <c r="C580" s="9" t="inlineStr">
        <is>
          <t>UCI WorldTour</t>
        </is>
      </c>
      <c r="D580" s="9" t="inlineStr">
        <is>
          <t>2027</t>
        </is>
      </c>
      <c r="E580" s="9" t="inlineStr">
        <is>
          <t>Grand Tour</t>
        </is>
      </c>
      <c r="F580" s="9" t="n"/>
      <c r="G580" s="9" t="inlineStr">
        <is>
          <t>Tour d'Espagne</t>
        </is>
      </c>
      <c r="H580" s="10" t="n">
        <v>46634</v>
      </c>
      <c r="I580" s="10" t="n">
        <v>46656</v>
      </c>
      <c r="J580" s="11" t="n"/>
      <c r="K580" s="9" t="inlineStr">
        <is>
          <t>Europe/Paris</t>
        </is>
      </c>
      <c r="L580" s="9" t="inlineStr">
        <is>
          <t>Saint-Jacques-de-Compostelle</t>
        </is>
      </c>
      <c r="M580" s="9" t="inlineStr">
        <is>
          <t>Espagne</t>
        </is>
      </c>
      <c r="N580" s="9" t="inlineStr">
        <is>
          <t>Hommes</t>
        </is>
      </c>
      <c r="O580" s="9" t="inlineStr">
        <is>
          <t>Officiel</t>
        </is>
      </c>
      <c r="P580" s="9" t="inlineStr">
        <is>
          <t>Oui</t>
        </is>
      </c>
      <c r="Q580" s="9" t="inlineStr">
        <is>
          <t>https://www.cyclingnews.com/pro-cycling/racing/vuelta-a-espana-grand-depart-returns-to-home-soil-with-start-in-galicia-in-2027/</t>
        </is>
      </c>
      <c r="R580" s="10" t="n">
        <v>46311</v>
      </c>
      <c r="S580" s="9" t="inlineStr">
        <is>
          <t>21 étapes ; départ officiel de Saint-Jacques-de-Compostelle (Galice), arrivée Madrid ; décalée en septembre à cause des Mondiaux</t>
        </is>
      </c>
      <c r="T580" s="9">
        <f>IF(H580="","",IF(MAX(H580,I580)&lt;TODAY(),"Terminé",IF(H580&lt;=TODAY(),"En cours","À venir")))</f>
        <v/>
      </c>
    </row>
    <row r="581">
      <c r="A581" s="9" t="inlineStr">
        <is>
          <t>UCI-2027-033</t>
        </is>
      </c>
      <c r="B581" s="9" t="inlineStr">
        <is>
          <t>Cyclisme sur route</t>
        </is>
      </c>
      <c r="C581" s="9" t="inlineStr">
        <is>
          <t>UCI WorldTour</t>
        </is>
      </c>
      <c r="D581" s="9" t="inlineStr">
        <is>
          <t>2027</t>
        </is>
      </c>
      <c r="E581" s="9" t="inlineStr">
        <is>
          <t>Course d'un jour</t>
        </is>
      </c>
      <c r="F581" s="9" t="n"/>
      <c r="G581" s="9" t="inlineStr">
        <is>
          <t>Grand Prix cycliste de Québec</t>
        </is>
      </c>
      <c r="H581" s="10" t="n">
        <v>46640</v>
      </c>
      <c r="I581" s="10" t="n">
        <v>46640</v>
      </c>
      <c r="J581" s="11" t="n"/>
      <c r="K581" s="9" t="inlineStr">
        <is>
          <t>Europe/Paris</t>
        </is>
      </c>
      <c r="L581" s="9" t="inlineStr">
        <is>
          <t>Québec</t>
        </is>
      </c>
      <c r="M581" s="9" t="inlineStr">
        <is>
          <t>Canada</t>
        </is>
      </c>
      <c r="N581" s="9" t="inlineStr">
        <is>
          <t>Hommes</t>
        </is>
      </c>
      <c r="O581" s="9" t="inlineStr">
        <is>
          <t>Officiel</t>
        </is>
      </c>
      <c r="P581" s="9" t="inlineStr">
        <is>
          <t>Oui</t>
        </is>
      </c>
      <c r="Q581" s="9" t="inlineStr">
        <is>
          <t>https://www.cyclingnews.com/pro-cycling/racing/uci-reveals-2027-worldtour-racing-calendars-with-super-world-championships-in-france-forcing-changes/</t>
        </is>
      </c>
      <c r="R581" s="10" t="n">
        <v>46311</v>
      </c>
      <c r="S581" s="9" t="n"/>
      <c r="T581" s="9">
        <f>IF(H581="","",IF(MAX(H581,I581)&lt;TODAY(),"Terminé",IF(H581&lt;=TODAY(),"En cours","À venir")))</f>
        <v/>
      </c>
    </row>
    <row r="582">
      <c r="A582" s="9" t="inlineStr">
        <is>
          <t>UCI-2027-034</t>
        </is>
      </c>
      <c r="B582" s="9" t="inlineStr">
        <is>
          <t>Cyclisme sur route</t>
        </is>
      </c>
      <c r="C582" s="9" t="inlineStr">
        <is>
          <t>UCI WorldTour</t>
        </is>
      </c>
      <c r="D582" s="9" t="inlineStr">
        <is>
          <t>2027</t>
        </is>
      </c>
      <c r="E582" s="9" t="inlineStr">
        <is>
          <t>Course d'un jour</t>
        </is>
      </c>
      <c r="F582" s="9" t="n"/>
      <c r="G582" s="9" t="inlineStr">
        <is>
          <t>Grand Prix cycliste de Montréal</t>
        </is>
      </c>
      <c r="H582" s="10" t="n">
        <v>46642</v>
      </c>
      <c r="I582" s="10" t="n">
        <v>46642</v>
      </c>
      <c r="J582" s="11" t="n"/>
      <c r="K582" s="9" t="inlineStr">
        <is>
          <t>Europe/Paris</t>
        </is>
      </c>
      <c r="L582" s="9" t="inlineStr">
        <is>
          <t>Montréal</t>
        </is>
      </c>
      <c r="M582" s="9" t="inlineStr">
        <is>
          <t>Canada</t>
        </is>
      </c>
      <c r="N582" s="9" t="inlineStr">
        <is>
          <t>Hommes</t>
        </is>
      </c>
      <c r="O582" s="9" t="inlineStr">
        <is>
          <t>Officiel</t>
        </is>
      </c>
      <c r="P582" s="9" t="inlineStr">
        <is>
          <t>Oui</t>
        </is>
      </c>
      <c r="Q582" s="9" t="inlineStr">
        <is>
          <t>https://www.cyclingnews.com/pro-cycling/racing/uci-reveals-2027-worldtour-racing-calendars-with-super-world-championships-in-france-forcing-changes/</t>
        </is>
      </c>
      <c r="R582" s="10" t="n">
        <v>46311</v>
      </c>
      <c r="S582" s="9" t="n"/>
      <c r="T582" s="9">
        <f>IF(H582="","",IF(MAX(H582,I582)&lt;TODAY(),"Terminé",IF(H582&lt;=TODAY(),"En cours","À venir")))</f>
        <v/>
      </c>
    </row>
    <row r="583">
      <c r="A583" s="9" t="inlineStr">
        <is>
          <t>UCI-2027-035</t>
        </is>
      </c>
      <c r="B583" s="9" t="inlineStr">
        <is>
          <t>Cyclisme sur route</t>
        </is>
      </c>
      <c r="C583" s="9" t="inlineStr">
        <is>
          <t>UCI WorldTour</t>
        </is>
      </c>
      <c r="D583" s="9" t="inlineStr">
        <is>
          <t>2027</t>
        </is>
      </c>
      <c r="E583" s="9" t="inlineStr">
        <is>
          <t>Course d'un jour</t>
        </is>
      </c>
      <c r="F583" s="9" t="n"/>
      <c r="G583" s="9" t="inlineStr">
        <is>
          <t>Il Lombardia</t>
        </is>
      </c>
      <c r="H583" s="10" t="n">
        <v>46669</v>
      </c>
      <c r="I583" s="10" t="n">
        <v>46669</v>
      </c>
      <c r="J583" s="11" t="n"/>
      <c r="K583" s="9" t="inlineStr">
        <is>
          <t>Europe/Paris</t>
        </is>
      </c>
      <c r="L583" s="9" t="inlineStr">
        <is>
          <t>Lombardie</t>
        </is>
      </c>
      <c r="M583" s="9" t="inlineStr">
        <is>
          <t>Italie</t>
        </is>
      </c>
      <c r="N583" s="9" t="inlineStr">
        <is>
          <t>Hommes</t>
        </is>
      </c>
      <c r="O583" s="9" t="inlineStr">
        <is>
          <t>Officiel</t>
        </is>
      </c>
      <c r="P583" s="9" t="inlineStr">
        <is>
          <t>Oui</t>
        </is>
      </c>
      <c r="Q583" s="9" t="inlineStr">
        <is>
          <t>https://www.domestiquecycling.com/en/news/uci-confirms-2027-worldtour-calendars-as-vuelta-espana-femenina-moves-to-september/</t>
        </is>
      </c>
      <c r="R583" s="10" t="n">
        <v>46311</v>
      </c>
      <c r="S583" s="9" t="inlineStr">
        <is>
          <t>Monument</t>
        </is>
      </c>
      <c r="T583" s="9">
        <f>IF(H583="","",IF(MAX(H583,I583)&lt;TODAY(),"Terminé",IF(H583&lt;=TODAY(),"En cours","À venir")))</f>
        <v/>
      </c>
    </row>
    <row r="584">
      <c r="A584" s="9" t="inlineStr">
        <is>
          <t>UCI-2027-036</t>
        </is>
      </c>
      <c r="B584" s="9" t="inlineStr">
        <is>
          <t>Cyclisme sur route</t>
        </is>
      </c>
      <c r="C584" s="9" t="inlineStr">
        <is>
          <t>UCI WorldTour</t>
        </is>
      </c>
      <c r="D584" s="9" t="inlineStr">
        <is>
          <t>2027</t>
        </is>
      </c>
      <c r="E584" s="9" t="inlineStr">
        <is>
          <t>Course par étapes</t>
        </is>
      </c>
      <c r="F584" s="9" t="n"/>
      <c r="G584" s="9" t="inlineStr">
        <is>
          <t>Tour du Guangxi</t>
        </is>
      </c>
      <c r="H584" s="10" t="n">
        <v>46672</v>
      </c>
      <c r="I584" s="10" t="n">
        <v>46677</v>
      </c>
      <c r="J584" s="11" t="n"/>
      <c r="K584" s="9" t="inlineStr">
        <is>
          <t>Europe/Paris</t>
        </is>
      </c>
      <c r="L584" s="9" t="inlineStr">
        <is>
          <t>Guangxi</t>
        </is>
      </c>
      <c r="M584" s="9" t="inlineStr">
        <is>
          <t>Chine</t>
        </is>
      </c>
      <c r="N584" s="9" t="inlineStr">
        <is>
          <t>Hommes</t>
        </is>
      </c>
      <c r="O584" s="9" t="inlineStr">
        <is>
          <t>Officiel</t>
        </is>
      </c>
      <c r="P584" s="9" t="inlineStr">
        <is>
          <t>Oui</t>
        </is>
      </c>
      <c r="Q584" s="9" t="inlineStr">
        <is>
          <t>https://www.domestiquecycling.com/en/news/uci-confirms-2027-worldtour-calendars-as-vuelta-espana-femenina-moves-to-september/</t>
        </is>
      </c>
      <c r="R584" s="10" t="n">
        <v>46311</v>
      </c>
      <c r="S584" s="9" t="inlineStr">
        <is>
          <t>Dernière épreuve UWT 2027 ; 6 jours de course</t>
        </is>
      </c>
      <c r="T584" s="9">
        <f>IF(H584="","",IF(MAX(H584,I584)&lt;TODAY(),"Terminé",IF(H584&lt;=TODAY(),"En cours","À venir")))</f>
        <v/>
      </c>
    </row>
    <row r="585">
      <c r="A585" s="9" t="inlineStr">
        <is>
          <t>UCIM-2026-001</t>
        </is>
      </c>
      <c r="B585" s="9" t="inlineStr">
        <is>
          <t>Cyclisme sur route</t>
        </is>
      </c>
      <c r="C585" s="9" t="inlineStr">
        <is>
          <t>Championnats du monde UCI</t>
        </is>
      </c>
      <c r="D585" s="9" t="inlineStr">
        <is>
          <t>2026</t>
        </is>
      </c>
      <c r="E585" s="9" t="inlineStr">
        <is>
          <t>Championnats du monde</t>
        </is>
      </c>
      <c r="F585" s="9" t="n"/>
      <c r="G585" s="9" t="inlineStr">
        <is>
          <t>Championnats du monde - Contre-la-montre hommes élite</t>
        </is>
      </c>
      <c r="H585" s="10" t="n">
        <v>46285</v>
      </c>
      <c r="I585" s="10" t="n">
        <v>46285</v>
      </c>
      <c r="J585" s="11" t="n"/>
      <c r="K585" s="9" t="inlineStr">
        <is>
          <t>Europe/Paris</t>
        </is>
      </c>
      <c r="L585" s="9" t="inlineStr">
        <is>
          <t>Montréal</t>
        </is>
      </c>
      <c r="M585" s="9" t="inlineStr">
        <is>
          <t>Canada</t>
        </is>
      </c>
      <c r="N585" s="9" t="inlineStr">
        <is>
          <t>Hommes</t>
        </is>
      </c>
      <c r="O585" s="9" t="inlineStr">
        <is>
          <t>Officiel</t>
        </is>
      </c>
      <c r="P585" s="9" t="inlineStr">
        <is>
          <t>Oui</t>
        </is>
      </c>
      <c r="Q585" s="9" t="inlineStr">
        <is>
          <t>https://www.bikeradar.com/news/uci-road-world-championships-2026-schedule-and-routes</t>
        </is>
      </c>
      <c r="R585" s="10" t="n">
        <v>46311</v>
      </c>
      <c r="S585" s="9" t="inlineStr">
        <is>
          <t>Déjà disputé ; 39,2 km ; départ 12h45 heure locale</t>
        </is>
      </c>
      <c r="T585" s="9">
        <f>IF(H585="","",IF(MAX(H585,I585)&lt;TODAY(),"Terminé",IF(H585&lt;=TODAY(),"En cours","À venir")))</f>
        <v/>
      </c>
    </row>
    <row r="586">
      <c r="A586" s="9" t="inlineStr">
        <is>
          <t>UCIM-2026-002</t>
        </is>
      </c>
      <c r="B586" s="9" t="inlineStr">
        <is>
          <t>Cyclisme sur route</t>
        </is>
      </c>
      <c r="C586" s="9" t="inlineStr">
        <is>
          <t>Championnats du monde UCI</t>
        </is>
      </c>
      <c r="D586" s="9" t="inlineStr">
        <is>
          <t>2026</t>
        </is>
      </c>
      <c r="E586" s="9" t="inlineStr">
        <is>
          <t>Championnats du monde</t>
        </is>
      </c>
      <c r="F586" s="9" t="n"/>
      <c r="G586" s="9" t="inlineStr">
        <is>
          <t>Championnats du monde - Course en ligne hommes élite</t>
        </is>
      </c>
      <c r="H586" s="10" t="n">
        <v>46292</v>
      </c>
      <c r="I586" s="10" t="n">
        <v>46292</v>
      </c>
      <c r="J586" s="11" t="n"/>
      <c r="K586" s="9" t="inlineStr">
        <is>
          <t>Europe/Paris</t>
        </is>
      </c>
      <c r="L586" s="9" t="inlineStr">
        <is>
          <t>Montréal</t>
        </is>
      </c>
      <c r="M586" s="9" t="inlineStr">
        <is>
          <t>Canada</t>
        </is>
      </c>
      <c r="N586" s="9" t="inlineStr">
        <is>
          <t>Hommes</t>
        </is>
      </c>
      <c r="O586" s="9" t="inlineStr">
        <is>
          <t>Officiel</t>
        </is>
      </c>
      <c r="P586" s="9" t="inlineStr">
        <is>
          <t>Oui</t>
        </is>
      </c>
      <c r="Q586" s="9" t="inlineStr">
        <is>
          <t>https://www.bikeradar.com/news/uci-road-world-championships-2026-schedule-and-routes</t>
        </is>
      </c>
      <c r="R586" s="10" t="n">
        <v>46311</v>
      </c>
      <c r="S586" s="9" t="inlineStr">
        <is>
          <t>Déjà disputé ; env. 273 km</t>
        </is>
      </c>
      <c r="T586" s="9">
        <f>IF(H586="","",IF(MAX(H586,I586)&lt;TODAY(),"Terminé",IF(H586&lt;=TODAY(),"En cours","À venir")))</f>
        <v/>
      </c>
    </row>
    <row r="587">
      <c r="A587" s="9" t="inlineStr">
        <is>
          <t>UCIM-2027-001</t>
        </is>
      </c>
      <c r="B587" s="9" t="inlineStr">
        <is>
          <t>Cyclisme sur route</t>
        </is>
      </c>
      <c r="C587" s="9" t="inlineStr">
        <is>
          <t>Championnats du monde UCI</t>
        </is>
      </c>
      <c r="D587" s="9" t="inlineStr">
        <is>
          <t>2027</t>
        </is>
      </c>
      <c r="E587" s="9" t="inlineStr">
        <is>
          <t>Championnats du monde</t>
        </is>
      </c>
      <c r="F587" s="9" t="n"/>
      <c r="G587" s="9" t="inlineStr">
        <is>
          <t>Championnats du monde - Course en ligne hommes élite</t>
        </is>
      </c>
      <c r="H587" s="10" t="n">
        <v>46628</v>
      </c>
      <c r="I587" s="10" t="n">
        <v>46628</v>
      </c>
      <c r="J587" s="11" t="n"/>
      <c r="K587" s="9" t="inlineStr">
        <is>
          <t>Europe/Paris</t>
        </is>
      </c>
      <c r="L587" s="9" t="inlineStr">
        <is>
          <t>Sallanches</t>
        </is>
      </c>
      <c r="M587" s="9" t="inlineStr">
        <is>
          <t>France</t>
        </is>
      </c>
      <c r="N587" s="9" t="inlineStr">
        <is>
          <t>Hommes</t>
        </is>
      </c>
      <c r="O587" s="9" t="inlineStr">
        <is>
          <t>Officiel</t>
        </is>
      </c>
      <c r="P587" s="9" t="inlineStr">
        <is>
          <t>Oui</t>
        </is>
      </c>
      <c r="Q587" s="9" t="inlineStr">
        <is>
          <t>https://www.uci.org/pressrelease/discover-the-calendar-for-the-2027-uci-cycling-world-championships-in-haute-savoie-mont-blanc/1tEIUtEoRq13aaef4p3bdx</t>
        </is>
      </c>
      <c r="R587" s="10" t="n">
        <v>46311</v>
      </c>
      <c r="S587" s="9" t="inlineStr">
        <is>
          <t>Super Mondiaux Haute-Savoie Mont-Blanc (24/08-05/09) ; circuit Sallanches-Domancy</t>
        </is>
      </c>
      <c r="T587" s="9">
        <f>IF(H587="","",IF(MAX(H587,I587)&lt;TODAY(),"Terminé",IF(H587&lt;=TODAY(),"En cours","À venir")))</f>
        <v/>
      </c>
    </row>
    <row r="588">
      <c r="A588" s="9" t="inlineStr">
        <is>
          <t>UCIM-2027-002</t>
        </is>
      </c>
      <c r="B588" s="9" t="inlineStr">
        <is>
          <t>Cyclisme sur route</t>
        </is>
      </c>
      <c r="C588" s="9" t="inlineStr">
        <is>
          <t>Championnats du monde UCI</t>
        </is>
      </c>
      <c r="D588" s="9" t="inlineStr">
        <is>
          <t>2027</t>
        </is>
      </c>
      <c r="E588" s="9" t="inlineStr">
        <is>
          <t>Championnats du monde</t>
        </is>
      </c>
      <c r="F588" s="9" t="n"/>
      <c r="G588" s="9" t="inlineStr">
        <is>
          <t>Championnats du monde - Contre-la-montre hommes élite</t>
        </is>
      </c>
      <c r="H588" s="10" t="n">
        <v>46631</v>
      </c>
      <c r="I588" s="10" t="n">
        <v>46631</v>
      </c>
      <c r="J588" s="11" t="n"/>
      <c r="K588" s="9" t="inlineStr">
        <is>
          <t>Europe/Paris</t>
        </is>
      </c>
      <c r="L588" s="9" t="inlineStr">
        <is>
          <t>Annecy</t>
        </is>
      </c>
      <c r="M588" s="9" t="inlineStr">
        <is>
          <t>France</t>
        </is>
      </c>
      <c r="N588" s="9" t="inlineStr">
        <is>
          <t>Hommes</t>
        </is>
      </c>
      <c r="O588" s="9" t="inlineStr">
        <is>
          <t>Officiel</t>
        </is>
      </c>
      <c r="P588" s="9" t="inlineStr">
        <is>
          <t>Oui</t>
        </is>
      </c>
      <c r="Q588" s="9" t="inlineStr">
        <is>
          <t>https://www.uci.org/pressrelease/discover-the-calendar-for-the-2027-uci-cycling-world-championships-in-haute-savoie-mont-blanc/1tEIUtEoRq13aaef4p3bdx</t>
        </is>
      </c>
      <c r="R588" s="10" t="n">
        <v>46311</v>
      </c>
      <c r="S588" s="9" t="inlineStr">
        <is>
          <t>Autour du lac d'Annecy, 37,2 km ; UCI : CLM élites le 1er septembre (jour exact hommes/femmes à confirmer)</t>
        </is>
      </c>
      <c r="T588" s="9">
        <f>IF(H588="","",IF(MAX(H588,I588)&lt;TODAY(),"Terminé",IF(H588&lt;=TODAY(),"En cours","À venir")))</f>
        <v/>
      </c>
    </row>
    <row r="589">
      <c r="A589" s="9" t="inlineStr">
        <is>
          <t>SKI-2627-001</t>
        </is>
      </c>
      <c r="B589" s="9" t="inlineStr">
        <is>
          <t>Ski alpin</t>
        </is>
      </c>
      <c r="C589" s="9" t="inlineStr">
        <is>
          <t>Coupe du monde de ski alpin</t>
        </is>
      </c>
      <c r="D589" s="9" t="inlineStr">
        <is>
          <t>2026-2027</t>
        </is>
      </c>
      <c r="E589" s="9" t="inlineStr">
        <is>
          <t>Slalom géant</t>
        </is>
      </c>
      <c r="F589" s="9" t="n"/>
      <c r="G589" s="9" t="inlineStr">
        <is>
          <t>Sölden – Slalom géant Femmes</t>
        </is>
      </c>
      <c r="H589" s="10" t="n">
        <v>46319</v>
      </c>
      <c r="I589" s="10" t="n">
        <v>46319</v>
      </c>
      <c r="J589" s="11" t="n"/>
      <c r="K589" s="9" t="inlineStr">
        <is>
          <t>Europe/Paris</t>
        </is>
      </c>
      <c r="L589" s="9" t="inlineStr">
        <is>
          <t>Sölden</t>
        </is>
      </c>
      <c r="M589" s="9" t="inlineStr">
        <is>
          <t>Autriche</t>
        </is>
      </c>
      <c r="N589" s="9" t="inlineStr">
        <is>
          <t>Femmes</t>
        </is>
      </c>
      <c r="O589" s="9" t="inlineStr">
        <is>
          <t>Officiel</t>
        </is>
      </c>
      <c r="P589" s="9" t="inlineStr">
        <is>
          <t>Oui</t>
        </is>
      </c>
      <c r="Q589" s="9" t="inlineStr">
        <is>
          <t>https://en.neveitalia.it/sport/scialpino/calendario/coppa-del-mondo-femminile&amp;</t>
        </is>
      </c>
      <c r="R589" s="10" t="n">
        <v>46311</v>
      </c>
      <c r="S589" s="9" t="inlineStr">
        <is>
          <t>Ouverture de la saison</t>
        </is>
      </c>
      <c r="T589" s="9">
        <f>IF(H589="","",IF(MAX(H589,I589)&lt;TODAY(),"Terminé",IF(H589&lt;=TODAY(),"En cours","À venir")))</f>
        <v/>
      </c>
    </row>
    <row r="590">
      <c r="A590" s="9" t="inlineStr">
        <is>
          <t>SKI-2627-002</t>
        </is>
      </c>
      <c r="B590" s="9" t="inlineStr">
        <is>
          <t>Ski alpin</t>
        </is>
      </c>
      <c r="C590" s="9" t="inlineStr">
        <is>
          <t>Coupe du monde de ski alpin</t>
        </is>
      </c>
      <c r="D590" s="9" t="inlineStr">
        <is>
          <t>2026-2027</t>
        </is>
      </c>
      <c r="E590" s="9" t="inlineStr">
        <is>
          <t>Slalom géant</t>
        </is>
      </c>
      <c r="F590" s="9" t="n"/>
      <c r="G590" s="9" t="inlineStr">
        <is>
          <t>Sölden – Slalom géant Hommes</t>
        </is>
      </c>
      <c r="H590" s="10" t="n">
        <v>46320</v>
      </c>
      <c r="I590" s="10" t="n">
        <v>46320</v>
      </c>
      <c r="J590" s="11" t="n"/>
      <c r="K590" s="9" t="inlineStr">
        <is>
          <t>Europe/Paris</t>
        </is>
      </c>
      <c r="L590" s="9" t="inlineStr">
        <is>
          <t>Sölden</t>
        </is>
      </c>
      <c r="M590" s="9" t="inlineStr">
        <is>
          <t>Autriche</t>
        </is>
      </c>
      <c r="N590" s="9" t="inlineStr">
        <is>
          <t>Hommes</t>
        </is>
      </c>
      <c r="O590" s="9" t="inlineStr">
        <is>
          <t>Officiel</t>
        </is>
      </c>
      <c r="P590" s="9" t="inlineStr">
        <is>
          <t>Oui</t>
        </is>
      </c>
      <c r="Q590" s="9" t="inlineStr">
        <is>
          <t>https://en.neveitalia.it/sport/scialpino/calendario</t>
        </is>
      </c>
      <c r="R590" s="10" t="n">
        <v>46311</v>
      </c>
      <c r="S590" s="9" t="inlineStr">
        <is>
          <t>Ouverture de la saison</t>
        </is>
      </c>
      <c r="T590" s="9">
        <f>IF(H590="","",IF(MAX(H590,I590)&lt;TODAY(),"Terminé",IF(H590&lt;=TODAY(),"En cours","À venir")))</f>
        <v/>
      </c>
    </row>
    <row r="591">
      <c r="A591" s="9" t="inlineStr">
        <is>
          <t>SKI-2627-003</t>
        </is>
      </c>
      <c r="B591" s="9" t="inlineStr">
        <is>
          <t>Ski alpin</t>
        </is>
      </c>
      <c r="C591" s="9" t="inlineStr">
        <is>
          <t>Coupe du monde de ski alpin</t>
        </is>
      </c>
      <c r="D591" s="9" t="inlineStr">
        <is>
          <t>2026-2027</t>
        </is>
      </c>
      <c r="E591" s="9" t="inlineStr">
        <is>
          <t>Slalom</t>
        </is>
      </c>
      <c r="F591" s="9" t="n"/>
      <c r="G591" s="9" t="inlineStr">
        <is>
          <t>Levi – Slalom Femmes</t>
        </is>
      </c>
      <c r="H591" s="10" t="n">
        <v>46340</v>
      </c>
      <c r="I591" s="10" t="n">
        <v>46340</v>
      </c>
      <c r="J591" s="11" t="n"/>
      <c r="K591" s="9" t="inlineStr">
        <is>
          <t>Europe/Paris</t>
        </is>
      </c>
      <c r="L591" s="9" t="inlineStr">
        <is>
          <t>Levi</t>
        </is>
      </c>
      <c r="M591" s="9" t="inlineStr">
        <is>
          <t>Finlande</t>
        </is>
      </c>
      <c r="N591" s="9" t="inlineStr">
        <is>
          <t>Femmes</t>
        </is>
      </c>
      <c r="O591" s="9" t="inlineStr">
        <is>
          <t>Officiel</t>
        </is>
      </c>
      <c r="P591" s="9" t="inlineStr">
        <is>
          <t>Oui</t>
        </is>
      </c>
      <c r="Q591" s="9" t="inlineStr">
        <is>
          <t>https://en.neveitalia.it/sport/scialpino/calendario/coppa-del-mondo-femminile&amp;</t>
        </is>
      </c>
      <c r="R591" s="10" t="n">
        <v>46311</v>
      </c>
      <c r="S591" s="9" t="n"/>
      <c r="T591" s="9">
        <f>IF(H591="","",IF(MAX(H591,I591)&lt;TODAY(),"Terminé",IF(H591&lt;=TODAY(),"En cours","À venir")))</f>
        <v/>
      </c>
    </row>
    <row r="592">
      <c r="A592" s="9" t="inlineStr">
        <is>
          <t>SKI-2627-004</t>
        </is>
      </c>
      <c r="B592" s="9" t="inlineStr">
        <is>
          <t>Ski alpin</t>
        </is>
      </c>
      <c r="C592" s="9" t="inlineStr">
        <is>
          <t>Coupe du monde de ski alpin</t>
        </is>
      </c>
      <c r="D592" s="9" t="inlineStr">
        <is>
          <t>2026-2027</t>
        </is>
      </c>
      <c r="E592" s="9" t="inlineStr">
        <is>
          <t>Slalom</t>
        </is>
      </c>
      <c r="F592" s="9" t="n"/>
      <c r="G592" s="9" t="inlineStr">
        <is>
          <t>Levi – Slalom Hommes</t>
        </is>
      </c>
      <c r="H592" s="10" t="n">
        <v>46341</v>
      </c>
      <c r="I592" s="10" t="n">
        <v>46341</v>
      </c>
      <c r="J592" s="11" t="n"/>
      <c r="K592" s="9" t="inlineStr">
        <is>
          <t>Europe/Paris</t>
        </is>
      </c>
      <c r="L592" s="9" t="inlineStr">
        <is>
          <t>Levi</t>
        </is>
      </c>
      <c r="M592" s="9" t="inlineStr">
        <is>
          <t>Finlande</t>
        </is>
      </c>
      <c r="N592" s="9" t="inlineStr">
        <is>
          <t>Hommes</t>
        </is>
      </c>
      <c r="O592" s="9" t="inlineStr">
        <is>
          <t>Officiel</t>
        </is>
      </c>
      <c r="P592" s="9" t="inlineStr">
        <is>
          <t>Oui</t>
        </is>
      </c>
      <c r="Q592" s="9" t="inlineStr">
        <is>
          <t>https://en.neveitalia.it/sport/scialpino/calendario</t>
        </is>
      </c>
      <c r="R592" s="10" t="n">
        <v>46311</v>
      </c>
      <c r="S592" s="9" t="n"/>
      <c r="T592" s="9">
        <f>IF(H592="","",IF(MAX(H592,I592)&lt;TODAY(),"Terminé",IF(H592&lt;=TODAY(),"En cours","À venir")))</f>
        <v/>
      </c>
    </row>
    <row r="593">
      <c r="A593" s="9" t="inlineStr">
        <is>
          <t>SKI-2627-005</t>
        </is>
      </c>
      <c r="B593" s="9" t="inlineStr">
        <is>
          <t>Ski alpin</t>
        </is>
      </c>
      <c r="C593" s="9" t="inlineStr">
        <is>
          <t>Coupe du monde de ski alpin</t>
        </is>
      </c>
      <c r="D593" s="9" t="inlineStr">
        <is>
          <t>2026-2027</t>
        </is>
      </c>
      <c r="E593" s="9" t="inlineStr">
        <is>
          <t>Slalom</t>
        </is>
      </c>
      <c r="F593" s="9" t="n"/>
      <c r="G593" s="9" t="inlineStr">
        <is>
          <t>Gurgl – Slalom Femmes</t>
        </is>
      </c>
      <c r="H593" s="10" t="n">
        <v>46347</v>
      </c>
      <c r="I593" s="10" t="n">
        <v>46347</v>
      </c>
      <c r="J593" s="11" t="n"/>
      <c r="K593" s="9" t="inlineStr">
        <is>
          <t>Europe/Paris</t>
        </is>
      </c>
      <c r="L593" s="9" t="inlineStr">
        <is>
          <t>Gurgl</t>
        </is>
      </c>
      <c r="M593" s="9" t="inlineStr">
        <is>
          <t>Autriche</t>
        </is>
      </c>
      <c r="N593" s="9" t="inlineStr">
        <is>
          <t>Femmes</t>
        </is>
      </c>
      <c r="O593" s="9" t="inlineStr">
        <is>
          <t>Officiel</t>
        </is>
      </c>
      <c r="P593" s="9" t="inlineStr">
        <is>
          <t>Oui</t>
        </is>
      </c>
      <c r="Q593" s="9" t="inlineStr">
        <is>
          <t>https://en.neveitalia.it/sport/scialpino/calendario/coppa-del-mondo-femminile&amp;</t>
        </is>
      </c>
      <c r="R593" s="10" t="n">
        <v>46311</v>
      </c>
      <c r="S593" s="9" t="n"/>
      <c r="T593" s="9">
        <f>IF(H593="","",IF(MAX(H593,I593)&lt;TODAY(),"Terminé",IF(H593&lt;=TODAY(),"En cours","À venir")))</f>
        <v/>
      </c>
    </row>
    <row r="594">
      <c r="A594" s="9" t="inlineStr">
        <is>
          <t>SKI-2627-006</t>
        </is>
      </c>
      <c r="B594" s="9" t="inlineStr">
        <is>
          <t>Ski alpin</t>
        </is>
      </c>
      <c r="C594" s="9" t="inlineStr">
        <is>
          <t>Coupe du monde de ski alpin</t>
        </is>
      </c>
      <c r="D594" s="9" t="inlineStr">
        <is>
          <t>2026-2027</t>
        </is>
      </c>
      <c r="E594" s="9" t="inlineStr">
        <is>
          <t>Slalom</t>
        </is>
      </c>
      <c r="F594" s="9" t="n"/>
      <c r="G594" s="9" t="inlineStr">
        <is>
          <t>Gurgl – Slalom Hommes</t>
        </is>
      </c>
      <c r="H594" s="10" t="n">
        <v>46348</v>
      </c>
      <c r="I594" s="10" t="n">
        <v>46348</v>
      </c>
      <c r="J594" s="11" t="n"/>
      <c r="K594" s="9" t="inlineStr">
        <is>
          <t>Europe/Paris</t>
        </is>
      </c>
      <c r="L594" s="9" t="inlineStr">
        <is>
          <t>Gurgl</t>
        </is>
      </c>
      <c r="M594" s="9" t="inlineStr">
        <is>
          <t>Autriche</t>
        </is>
      </c>
      <c r="N594" s="9" t="inlineStr">
        <is>
          <t>Hommes</t>
        </is>
      </c>
      <c r="O594" s="9" t="inlineStr">
        <is>
          <t>Officiel</t>
        </is>
      </c>
      <c r="P594" s="9" t="inlineStr">
        <is>
          <t>Oui</t>
        </is>
      </c>
      <c r="Q594" s="9" t="inlineStr">
        <is>
          <t>https://en.neveitalia.it/sport/scialpino/calendario</t>
        </is>
      </c>
      <c r="R594" s="10" t="n">
        <v>46311</v>
      </c>
      <c r="S594" s="9" t="n"/>
      <c r="T594" s="9">
        <f>IF(H594="","",IF(MAX(H594,I594)&lt;TODAY(),"Terminé",IF(H594&lt;=TODAY(),"En cours","À venir")))</f>
        <v/>
      </c>
    </row>
    <row r="595">
      <c r="A595" s="9" t="inlineStr">
        <is>
          <t>SKI-2627-007</t>
        </is>
      </c>
      <c r="B595" s="9" t="inlineStr">
        <is>
          <t>Ski alpin</t>
        </is>
      </c>
      <c r="C595" s="9" t="inlineStr">
        <is>
          <t>Coupe du monde de ski alpin</t>
        </is>
      </c>
      <c r="D595" s="9" t="inlineStr">
        <is>
          <t>2026-2027</t>
        </is>
      </c>
      <c r="E595" s="9" t="inlineStr">
        <is>
          <t>Slalom géant</t>
        </is>
      </c>
      <c r="F595" s="9" t="n"/>
      <c r="G595" s="9" t="inlineStr">
        <is>
          <t>Killington – Slalom géant Femmes</t>
        </is>
      </c>
      <c r="H595" s="10" t="n">
        <v>46354</v>
      </c>
      <c r="I595" s="10" t="n">
        <v>46354</v>
      </c>
      <c r="J595" s="11" t="n"/>
      <c r="K595" s="9" t="inlineStr">
        <is>
          <t>Europe/Paris</t>
        </is>
      </c>
      <c r="L595" s="9" t="inlineStr">
        <is>
          <t>Killington</t>
        </is>
      </c>
      <c r="M595" s="9" t="inlineStr">
        <is>
          <t>États-Unis</t>
        </is>
      </c>
      <c r="N595" s="9" t="inlineStr">
        <is>
          <t>Femmes</t>
        </is>
      </c>
      <c r="O595" s="9" t="inlineStr">
        <is>
          <t>Officiel</t>
        </is>
      </c>
      <c r="P595" s="9" t="inlineStr">
        <is>
          <t>Oui</t>
        </is>
      </c>
      <c r="Q595" s="9" t="inlineStr">
        <is>
          <t>https://en.neveitalia.it/sport/scialpino/calendario/coppa-del-mondo-femminile&amp;</t>
        </is>
      </c>
      <c r="R595" s="10" t="n">
        <v>46311</v>
      </c>
      <c r="S595" s="9" t="n"/>
      <c r="T595" s="9">
        <f>IF(H595="","",IF(MAX(H595,I595)&lt;TODAY(),"Terminé",IF(H595&lt;=TODAY(),"En cours","À venir")))</f>
        <v/>
      </c>
    </row>
    <row r="596">
      <c r="A596" s="9" t="inlineStr">
        <is>
          <t>SKI-2627-008</t>
        </is>
      </c>
      <c r="B596" s="9" t="inlineStr">
        <is>
          <t>Ski alpin</t>
        </is>
      </c>
      <c r="C596" s="9" t="inlineStr">
        <is>
          <t>Coupe du monde de ski alpin</t>
        </is>
      </c>
      <c r="D596" s="9" t="inlineStr">
        <is>
          <t>2026-2027</t>
        </is>
      </c>
      <c r="E596" s="9" t="inlineStr">
        <is>
          <t>Super-G</t>
        </is>
      </c>
      <c r="F596" s="9" t="n"/>
      <c r="G596" s="9" t="inlineStr">
        <is>
          <t>Copper Mountain – Super-G Hommes</t>
        </is>
      </c>
      <c r="H596" s="10" t="n">
        <v>46354</v>
      </c>
      <c r="I596" s="10" t="n">
        <v>46354</v>
      </c>
      <c r="J596" s="11" t="n"/>
      <c r="K596" s="9" t="inlineStr">
        <is>
          <t>Europe/Paris</t>
        </is>
      </c>
      <c r="L596" s="9" t="inlineStr">
        <is>
          <t>Copper Mountain</t>
        </is>
      </c>
      <c r="M596" s="9" t="inlineStr">
        <is>
          <t>États-Unis</t>
        </is>
      </c>
      <c r="N596" s="9" t="inlineStr">
        <is>
          <t>Hommes</t>
        </is>
      </c>
      <c r="O596" s="9" t="inlineStr">
        <is>
          <t>Officiel</t>
        </is>
      </c>
      <c r="P596" s="9" t="inlineStr">
        <is>
          <t>Oui</t>
        </is>
      </c>
      <c r="Q596" s="9" t="inlineStr">
        <is>
          <t>https://en.neveitalia.it/sport/scialpino/calendario</t>
        </is>
      </c>
      <c r="R596" s="10" t="n">
        <v>46311</v>
      </c>
      <c r="S596" s="9" t="n"/>
      <c r="T596" s="9">
        <f>IF(H596="","",IF(MAX(H596,I596)&lt;TODAY(),"Terminé",IF(H596&lt;=TODAY(),"En cours","À venir")))</f>
        <v/>
      </c>
    </row>
    <row r="597">
      <c r="A597" s="9" t="inlineStr">
        <is>
          <t>SKI-2627-009</t>
        </is>
      </c>
      <c r="B597" s="9" t="inlineStr">
        <is>
          <t>Ski alpin</t>
        </is>
      </c>
      <c r="C597" s="9" t="inlineStr">
        <is>
          <t>Coupe du monde de ski alpin</t>
        </is>
      </c>
      <c r="D597" s="9" t="inlineStr">
        <is>
          <t>2026-2027</t>
        </is>
      </c>
      <c r="E597" s="9" t="inlineStr">
        <is>
          <t>Slalom</t>
        </is>
      </c>
      <c r="F597" s="9" t="n"/>
      <c r="G597" s="9" t="inlineStr">
        <is>
          <t>Killington – Slalom Femmes</t>
        </is>
      </c>
      <c r="H597" s="10" t="n">
        <v>46355</v>
      </c>
      <c r="I597" s="10" t="n">
        <v>46355</v>
      </c>
      <c r="J597" s="11" t="n"/>
      <c r="K597" s="9" t="inlineStr">
        <is>
          <t>Europe/Paris</t>
        </is>
      </c>
      <c r="L597" s="9" t="inlineStr">
        <is>
          <t>Killington</t>
        </is>
      </c>
      <c r="M597" s="9" t="inlineStr">
        <is>
          <t>États-Unis</t>
        </is>
      </c>
      <c r="N597" s="9" t="inlineStr">
        <is>
          <t>Femmes</t>
        </is>
      </c>
      <c r="O597" s="9" t="inlineStr">
        <is>
          <t>Officiel</t>
        </is>
      </c>
      <c r="P597" s="9" t="inlineStr">
        <is>
          <t>Oui</t>
        </is>
      </c>
      <c r="Q597" s="9" t="inlineStr">
        <is>
          <t>https://en.neveitalia.it/sport/scialpino/calendario/coppa-del-mondo-femminile&amp;</t>
        </is>
      </c>
      <c r="R597" s="10" t="n">
        <v>46311</v>
      </c>
      <c r="S597" s="9" t="n"/>
      <c r="T597" s="9">
        <f>IF(H597="","",IF(MAX(H597,I597)&lt;TODAY(),"Terminé",IF(H597&lt;=TODAY(),"En cours","À venir")))</f>
        <v/>
      </c>
    </row>
    <row r="598">
      <c r="A598" s="9" t="inlineStr">
        <is>
          <t>SKI-2627-010</t>
        </is>
      </c>
      <c r="B598" s="9" t="inlineStr">
        <is>
          <t>Ski alpin</t>
        </is>
      </c>
      <c r="C598" s="9" t="inlineStr">
        <is>
          <t>Coupe du monde de ski alpin</t>
        </is>
      </c>
      <c r="D598" s="9" t="inlineStr">
        <is>
          <t>2026-2027</t>
        </is>
      </c>
      <c r="E598" s="9" t="inlineStr">
        <is>
          <t>Slalom géant</t>
        </is>
      </c>
      <c r="F598" s="9" t="n"/>
      <c r="G598" s="9" t="inlineStr">
        <is>
          <t>Copper Mountain – Slalom géant Hommes</t>
        </is>
      </c>
      <c r="H598" s="10" t="n">
        <v>46355</v>
      </c>
      <c r="I598" s="10" t="n">
        <v>46355</v>
      </c>
      <c r="J598" s="11" t="n"/>
      <c r="K598" s="9" t="inlineStr">
        <is>
          <t>Europe/Paris</t>
        </is>
      </c>
      <c r="L598" s="9" t="inlineStr">
        <is>
          <t>Copper Mountain</t>
        </is>
      </c>
      <c r="M598" s="9" t="inlineStr">
        <is>
          <t>États-Unis</t>
        </is>
      </c>
      <c r="N598" s="9" t="inlineStr">
        <is>
          <t>Hommes</t>
        </is>
      </c>
      <c r="O598" s="9" t="inlineStr">
        <is>
          <t>Officiel</t>
        </is>
      </c>
      <c r="P598" s="9" t="inlineStr">
        <is>
          <t>Oui</t>
        </is>
      </c>
      <c r="Q598" s="9" t="inlineStr">
        <is>
          <t>https://en.neveitalia.it/sport/scialpino/calendario</t>
        </is>
      </c>
      <c r="R598" s="10" t="n">
        <v>46311</v>
      </c>
      <c r="S598" s="9" t="n"/>
      <c r="T598" s="9">
        <f>IF(H598="","",IF(MAX(H598,I598)&lt;TODAY(),"Terminé",IF(H598&lt;=TODAY(),"En cours","À venir")))</f>
        <v/>
      </c>
    </row>
    <row r="599">
      <c r="A599" s="9" t="inlineStr">
        <is>
          <t>SKI-2627-011</t>
        </is>
      </c>
      <c r="B599" s="9" t="inlineStr">
        <is>
          <t>Ski alpin</t>
        </is>
      </c>
      <c r="C599" s="9" t="inlineStr">
        <is>
          <t>Coupe du monde de ski alpin</t>
        </is>
      </c>
      <c r="D599" s="9" t="inlineStr">
        <is>
          <t>2026-2027</t>
        </is>
      </c>
      <c r="E599" s="9" t="inlineStr">
        <is>
          <t>Descente</t>
        </is>
      </c>
      <c r="F599" s="9" t="n"/>
      <c r="G599" s="9" t="inlineStr">
        <is>
          <t>Beaver Creek – Descente Hommes</t>
        </is>
      </c>
      <c r="H599" s="10" t="n">
        <v>46359</v>
      </c>
      <c r="I599" s="10" t="n">
        <v>46359</v>
      </c>
      <c r="J599" s="11" t="n"/>
      <c r="K599" s="9" t="inlineStr">
        <is>
          <t>Europe/Paris</t>
        </is>
      </c>
      <c r="L599" s="9" t="inlineStr">
        <is>
          <t>Beaver Creek</t>
        </is>
      </c>
      <c r="M599" s="9" t="inlineStr">
        <is>
          <t>États-Unis</t>
        </is>
      </c>
      <c r="N599" s="9" t="inlineStr">
        <is>
          <t>Hommes</t>
        </is>
      </c>
      <c r="O599" s="9" t="inlineStr">
        <is>
          <t>Officiel</t>
        </is>
      </c>
      <c r="P599" s="9" t="inlineStr">
        <is>
          <t>Oui</t>
        </is>
      </c>
      <c r="Q599" s="9" t="inlineStr">
        <is>
          <t>https://en.neveitalia.it/sport/scialpino/calendario</t>
        </is>
      </c>
      <c r="R599" s="10" t="n">
        <v>46311</v>
      </c>
      <c r="S599" s="9" t="n"/>
      <c r="T599" s="9">
        <f>IF(H599="","",IF(MAX(H599,I599)&lt;TODAY(),"Terminé",IF(H599&lt;=TODAY(),"En cours","À venir")))</f>
        <v/>
      </c>
    </row>
    <row r="600">
      <c r="A600" s="9" t="inlineStr">
        <is>
          <t>SKI-2627-012</t>
        </is>
      </c>
      <c r="B600" s="9" t="inlineStr">
        <is>
          <t>Ski alpin</t>
        </is>
      </c>
      <c r="C600" s="9" t="inlineStr">
        <is>
          <t>Coupe du monde de ski alpin</t>
        </is>
      </c>
      <c r="D600" s="9" t="inlineStr">
        <is>
          <t>2026-2027</t>
        </is>
      </c>
      <c r="E600" s="9" t="inlineStr">
        <is>
          <t>Descente</t>
        </is>
      </c>
      <c r="F600" s="9" t="n"/>
      <c r="G600" s="9" t="inlineStr">
        <is>
          <t>Beaver Creek – Descente Hommes</t>
        </is>
      </c>
      <c r="H600" s="10" t="n">
        <v>46360</v>
      </c>
      <c r="I600" s="10" t="n">
        <v>46360</v>
      </c>
      <c r="J600" s="11" t="n"/>
      <c r="K600" s="9" t="inlineStr">
        <is>
          <t>Europe/Paris</t>
        </is>
      </c>
      <c r="L600" s="9" t="inlineStr">
        <is>
          <t>Beaver Creek</t>
        </is>
      </c>
      <c r="M600" s="9" t="inlineStr">
        <is>
          <t>États-Unis</t>
        </is>
      </c>
      <c r="N600" s="9" t="inlineStr">
        <is>
          <t>Hommes</t>
        </is>
      </c>
      <c r="O600" s="9" t="inlineStr">
        <is>
          <t>Officiel</t>
        </is>
      </c>
      <c r="P600" s="9" t="inlineStr">
        <is>
          <t>Oui</t>
        </is>
      </c>
      <c r="Q600" s="9" t="inlineStr">
        <is>
          <t>https://en.neveitalia.it/sport/scialpino/calendario</t>
        </is>
      </c>
      <c r="R600" s="10" t="n">
        <v>46311</v>
      </c>
      <c r="S600" s="9" t="n"/>
      <c r="T600" s="9">
        <f>IF(H600="","",IF(MAX(H600,I600)&lt;TODAY(),"Terminé",IF(H600&lt;=TODAY(),"En cours","À venir")))</f>
        <v/>
      </c>
    </row>
    <row r="601">
      <c r="A601" s="9" t="inlineStr">
        <is>
          <t>SKI-2627-013</t>
        </is>
      </c>
      <c r="B601" s="9" t="inlineStr">
        <is>
          <t>Ski alpin</t>
        </is>
      </c>
      <c r="C601" s="9" t="inlineStr">
        <is>
          <t>Coupe du monde de ski alpin</t>
        </is>
      </c>
      <c r="D601" s="9" t="inlineStr">
        <is>
          <t>2026-2027</t>
        </is>
      </c>
      <c r="E601" s="9" t="inlineStr">
        <is>
          <t>Slalom géant</t>
        </is>
      </c>
      <c r="F601" s="9" t="n"/>
      <c r="G601" s="9" t="inlineStr">
        <is>
          <t>Tremblant – Slalom géant Femmes</t>
        </is>
      </c>
      <c r="H601" s="10" t="n">
        <v>46361</v>
      </c>
      <c r="I601" s="10" t="n">
        <v>46361</v>
      </c>
      <c r="J601" s="11" t="n"/>
      <c r="K601" s="9" t="inlineStr">
        <is>
          <t>Europe/Paris</t>
        </is>
      </c>
      <c r="L601" s="9" t="inlineStr">
        <is>
          <t>Tremblant</t>
        </is>
      </c>
      <c r="M601" s="9" t="inlineStr">
        <is>
          <t>Canada</t>
        </is>
      </c>
      <c r="N601" s="9" t="inlineStr">
        <is>
          <t>Femmes</t>
        </is>
      </c>
      <c r="O601" s="9" t="inlineStr">
        <is>
          <t>Officiel</t>
        </is>
      </c>
      <c r="P601" s="9" t="inlineStr">
        <is>
          <t>Oui</t>
        </is>
      </c>
      <c r="Q601" s="9" t="inlineStr">
        <is>
          <t>https://en.neveitalia.it/sport/scialpino/calendario/coppa-del-mondo-femminile&amp;</t>
        </is>
      </c>
      <c r="R601" s="10" t="n">
        <v>46311</v>
      </c>
      <c r="S601" s="9" t="n"/>
      <c r="T601" s="9">
        <f>IF(H601="","",IF(MAX(H601,I601)&lt;TODAY(),"Terminé",IF(H601&lt;=TODAY(),"En cours","À venir")))</f>
        <v/>
      </c>
    </row>
    <row r="602">
      <c r="A602" s="9" t="inlineStr">
        <is>
          <t>SKI-2627-014</t>
        </is>
      </c>
      <c r="B602" s="9" t="inlineStr">
        <is>
          <t>Ski alpin</t>
        </is>
      </c>
      <c r="C602" s="9" t="inlineStr">
        <is>
          <t>Coupe du monde de ski alpin</t>
        </is>
      </c>
      <c r="D602" s="9" t="inlineStr">
        <is>
          <t>2026-2027</t>
        </is>
      </c>
      <c r="E602" s="9" t="inlineStr">
        <is>
          <t>Super-G</t>
        </is>
      </c>
      <c r="F602" s="9" t="n"/>
      <c r="G602" s="9" t="inlineStr">
        <is>
          <t>Beaver Creek – Super-G Hommes</t>
        </is>
      </c>
      <c r="H602" s="10" t="n">
        <v>46361</v>
      </c>
      <c r="I602" s="10" t="n">
        <v>46361</v>
      </c>
      <c r="J602" s="11" t="n"/>
      <c r="K602" s="9" t="inlineStr">
        <is>
          <t>Europe/Paris</t>
        </is>
      </c>
      <c r="L602" s="9" t="inlineStr">
        <is>
          <t>Beaver Creek</t>
        </is>
      </c>
      <c r="M602" s="9" t="inlineStr">
        <is>
          <t>États-Unis</t>
        </is>
      </c>
      <c r="N602" s="9" t="inlineStr">
        <is>
          <t>Hommes</t>
        </is>
      </c>
      <c r="O602" s="9" t="inlineStr">
        <is>
          <t>Officiel</t>
        </is>
      </c>
      <c r="P602" s="9" t="inlineStr">
        <is>
          <t>Oui</t>
        </is>
      </c>
      <c r="Q602" s="9" t="inlineStr">
        <is>
          <t>https://en.neveitalia.it/sport/scialpino/calendario</t>
        </is>
      </c>
      <c r="R602" s="10" t="n">
        <v>46311</v>
      </c>
      <c r="S602" s="9" t="n"/>
      <c r="T602" s="9">
        <f>IF(H602="","",IF(MAX(H602,I602)&lt;TODAY(),"Terminé",IF(H602&lt;=TODAY(),"En cours","À venir")))</f>
        <v/>
      </c>
    </row>
    <row r="603">
      <c r="A603" s="9" t="inlineStr">
        <is>
          <t>SKI-2627-015</t>
        </is>
      </c>
      <c r="B603" s="9" t="inlineStr">
        <is>
          <t>Ski alpin</t>
        </is>
      </c>
      <c r="C603" s="9" t="inlineStr">
        <is>
          <t>Coupe du monde de ski alpin</t>
        </is>
      </c>
      <c r="D603" s="9" t="inlineStr">
        <is>
          <t>2026-2027</t>
        </is>
      </c>
      <c r="E603" s="9" t="inlineStr">
        <is>
          <t>Slalom géant</t>
        </is>
      </c>
      <c r="F603" s="9" t="n"/>
      <c r="G603" s="9" t="inlineStr">
        <is>
          <t>Tremblant – Slalom géant Femmes</t>
        </is>
      </c>
      <c r="H603" s="10" t="n">
        <v>46362</v>
      </c>
      <c r="I603" s="10" t="n">
        <v>46362</v>
      </c>
      <c r="J603" s="11" t="n"/>
      <c r="K603" s="9" t="inlineStr">
        <is>
          <t>Europe/Paris</t>
        </is>
      </c>
      <c r="L603" s="9" t="inlineStr">
        <is>
          <t>Tremblant</t>
        </is>
      </c>
      <c r="M603" s="9" t="inlineStr">
        <is>
          <t>Canada</t>
        </is>
      </c>
      <c r="N603" s="9" t="inlineStr">
        <is>
          <t>Femmes</t>
        </is>
      </c>
      <c r="O603" s="9" t="inlineStr">
        <is>
          <t>Officiel</t>
        </is>
      </c>
      <c r="P603" s="9" t="inlineStr">
        <is>
          <t>Oui</t>
        </is>
      </c>
      <c r="Q603" s="9" t="inlineStr">
        <is>
          <t>https://en.neveitalia.it/sport/scialpino/calendario/coppa-del-mondo-femminile&amp;</t>
        </is>
      </c>
      <c r="R603" s="10" t="n">
        <v>46311</v>
      </c>
      <c r="S603" s="9" t="n"/>
      <c r="T603" s="9">
        <f>IF(H603="","",IF(MAX(H603,I603)&lt;TODAY(),"Terminé",IF(H603&lt;=TODAY(),"En cours","À venir")))</f>
        <v/>
      </c>
    </row>
    <row r="604">
      <c r="A604" s="9" t="inlineStr">
        <is>
          <t>SKI-2627-016</t>
        </is>
      </c>
      <c r="B604" s="9" t="inlineStr">
        <is>
          <t>Ski alpin</t>
        </is>
      </c>
      <c r="C604" s="9" t="inlineStr">
        <is>
          <t>Coupe du monde de ski alpin</t>
        </is>
      </c>
      <c r="D604" s="9" t="inlineStr">
        <is>
          <t>2026-2027</t>
        </is>
      </c>
      <c r="E604" s="9" t="inlineStr">
        <is>
          <t>Slalom géant</t>
        </is>
      </c>
      <c r="F604" s="9" t="n"/>
      <c r="G604" s="9" t="inlineStr">
        <is>
          <t>Beaver Creek – Slalom géant Hommes</t>
        </is>
      </c>
      <c r="H604" s="10" t="n">
        <v>46362</v>
      </c>
      <c r="I604" s="10" t="n">
        <v>46362</v>
      </c>
      <c r="J604" s="11" t="n"/>
      <c r="K604" s="9" t="inlineStr">
        <is>
          <t>Europe/Paris</t>
        </is>
      </c>
      <c r="L604" s="9" t="inlineStr">
        <is>
          <t>Beaver Creek</t>
        </is>
      </c>
      <c r="M604" s="9" t="inlineStr">
        <is>
          <t>États-Unis</t>
        </is>
      </c>
      <c r="N604" s="9" t="inlineStr">
        <is>
          <t>Hommes</t>
        </is>
      </c>
      <c r="O604" s="9" t="inlineStr">
        <is>
          <t>Officiel</t>
        </is>
      </c>
      <c r="P604" s="9" t="inlineStr">
        <is>
          <t>Oui</t>
        </is>
      </c>
      <c r="Q604" s="9" t="inlineStr">
        <is>
          <t>https://en.neveitalia.it/sport/scialpino/calendario</t>
        </is>
      </c>
      <c r="R604" s="10" t="n">
        <v>46311</v>
      </c>
      <c r="S604" s="9" t="n"/>
      <c r="T604" s="9">
        <f>IF(H604="","",IF(MAX(H604,I604)&lt;TODAY(),"Terminé",IF(H604&lt;=TODAY(),"En cours","À venir")))</f>
        <v/>
      </c>
    </row>
    <row r="605">
      <c r="A605" s="9" t="inlineStr">
        <is>
          <t>SKI-2627-017</t>
        </is>
      </c>
      <c r="B605" s="9" t="inlineStr">
        <is>
          <t>Ski alpin</t>
        </is>
      </c>
      <c r="C605" s="9" t="inlineStr">
        <is>
          <t>Coupe du monde de ski alpin</t>
        </is>
      </c>
      <c r="D605" s="9" t="inlineStr">
        <is>
          <t>2026-2027</t>
        </is>
      </c>
      <c r="E605" s="9" t="inlineStr">
        <is>
          <t>Descente</t>
        </is>
      </c>
      <c r="F605" s="9" t="n"/>
      <c r="G605" s="9" t="inlineStr">
        <is>
          <t>Beaver Creek – Descente Femmes</t>
        </is>
      </c>
      <c r="H605" s="10" t="n">
        <v>46367</v>
      </c>
      <c r="I605" s="10" t="n">
        <v>46367</v>
      </c>
      <c r="J605" s="11" t="n"/>
      <c r="K605" s="9" t="inlineStr">
        <is>
          <t>Europe/Paris</t>
        </is>
      </c>
      <c r="L605" s="9" t="inlineStr">
        <is>
          <t>Beaver Creek</t>
        </is>
      </c>
      <c r="M605" s="9" t="inlineStr">
        <is>
          <t>États-Unis</t>
        </is>
      </c>
      <c r="N605" s="9" t="inlineStr">
        <is>
          <t>Femmes</t>
        </is>
      </c>
      <c r="O605" s="9" t="inlineStr">
        <is>
          <t>Officiel</t>
        </is>
      </c>
      <c r="P605" s="9" t="inlineStr">
        <is>
          <t>Oui</t>
        </is>
      </c>
      <c r="Q605" s="9" t="inlineStr">
        <is>
          <t>https://en.neveitalia.it/sport/scialpino/calendario/coppa-del-mondo-femminile&amp;</t>
        </is>
      </c>
      <c r="R605" s="10" t="n">
        <v>46311</v>
      </c>
      <c r="S605" s="9" t="n"/>
      <c r="T605" s="9">
        <f>IF(H605="","",IF(MAX(H605,I605)&lt;TODAY(),"Terminé",IF(H605&lt;=TODAY(),"En cours","À venir")))</f>
        <v/>
      </c>
    </row>
    <row r="606">
      <c r="A606" s="9" t="inlineStr">
        <is>
          <t>SKI-2627-018</t>
        </is>
      </c>
      <c r="B606" s="9" t="inlineStr">
        <is>
          <t>Ski alpin</t>
        </is>
      </c>
      <c r="C606" s="9" t="inlineStr">
        <is>
          <t>Coupe du monde de ski alpin</t>
        </is>
      </c>
      <c r="D606" s="9" t="inlineStr">
        <is>
          <t>2026-2027</t>
        </is>
      </c>
      <c r="E606" s="9" t="inlineStr">
        <is>
          <t>Descente</t>
        </is>
      </c>
      <c r="F606" s="9" t="n"/>
      <c r="G606" s="9" t="inlineStr">
        <is>
          <t>Beaver Creek – Descente Femmes</t>
        </is>
      </c>
      <c r="H606" s="10" t="n">
        <v>46368</v>
      </c>
      <c r="I606" s="10" t="n">
        <v>46368</v>
      </c>
      <c r="J606" s="11" t="n"/>
      <c r="K606" s="9" t="inlineStr">
        <is>
          <t>Europe/Paris</t>
        </is>
      </c>
      <c r="L606" s="9" t="inlineStr">
        <is>
          <t>Beaver Creek</t>
        </is>
      </c>
      <c r="M606" s="9" t="inlineStr">
        <is>
          <t>États-Unis</t>
        </is>
      </c>
      <c r="N606" s="9" t="inlineStr">
        <is>
          <t>Femmes</t>
        </is>
      </c>
      <c r="O606" s="9" t="inlineStr">
        <is>
          <t>Officiel</t>
        </is>
      </c>
      <c r="P606" s="9" t="inlineStr">
        <is>
          <t>Oui</t>
        </is>
      </c>
      <c r="Q606" s="9" t="inlineStr">
        <is>
          <t>https://en.neveitalia.it/sport/scialpino/calendario/coppa-del-mondo-femminile&amp;</t>
        </is>
      </c>
      <c r="R606" s="10" t="n">
        <v>46311</v>
      </c>
      <c r="S606" s="9" t="n"/>
      <c r="T606" s="9">
        <f>IF(H606="","",IF(MAX(H606,I606)&lt;TODAY(),"Terminé",IF(H606&lt;=TODAY(),"En cours","À venir")))</f>
        <v/>
      </c>
    </row>
    <row r="607">
      <c r="A607" s="9" t="inlineStr">
        <is>
          <t>SKI-2627-019</t>
        </is>
      </c>
      <c r="B607" s="9" t="inlineStr">
        <is>
          <t>Ski alpin</t>
        </is>
      </c>
      <c r="C607" s="9" t="inlineStr">
        <is>
          <t>Coupe du monde de ski alpin</t>
        </is>
      </c>
      <c r="D607" s="9" t="inlineStr">
        <is>
          <t>2026-2027</t>
        </is>
      </c>
      <c r="E607" s="9" t="inlineStr">
        <is>
          <t>Slalom géant</t>
        </is>
      </c>
      <c r="F607" s="9" t="n"/>
      <c r="G607" s="9" t="inlineStr">
        <is>
          <t>Val d'Isère – Slalom géant Hommes</t>
        </is>
      </c>
      <c r="H607" s="10" t="n">
        <v>46368</v>
      </c>
      <c r="I607" s="10" t="n">
        <v>46368</v>
      </c>
      <c r="J607" s="11" t="n"/>
      <c r="K607" s="9" t="inlineStr">
        <is>
          <t>Europe/Paris</t>
        </is>
      </c>
      <c r="L607" s="9" t="inlineStr">
        <is>
          <t>Val d'Isère</t>
        </is>
      </c>
      <c r="M607" s="9" t="inlineStr">
        <is>
          <t>France</t>
        </is>
      </c>
      <c r="N607" s="9" t="inlineStr">
        <is>
          <t>Hommes</t>
        </is>
      </c>
      <c r="O607" s="9" t="inlineStr">
        <is>
          <t>Officiel</t>
        </is>
      </c>
      <c r="P607" s="9" t="inlineStr">
        <is>
          <t>Oui</t>
        </is>
      </c>
      <c r="Q607" s="9" t="inlineStr">
        <is>
          <t>https://en.neveitalia.it/sport/scialpino/calendario</t>
        </is>
      </c>
      <c r="R607" s="10" t="n">
        <v>46311</v>
      </c>
      <c r="S607" s="9" t="n"/>
      <c r="T607" s="9">
        <f>IF(H607="","",IF(MAX(H607,I607)&lt;TODAY(),"Terminé",IF(H607&lt;=TODAY(),"En cours","À venir")))</f>
        <v/>
      </c>
    </row>
    <row r="608">
      <c r="A608" s="9" t="inlineStr">
        <is>
          <t>SKI-2627-020</t>
        </is>
      </c>
      <c r="B608" s="9" t="inlineStr">
        <is>
          <t>Ski alpin</t>
        </is>
      </c>
      <c r="C608" s="9" t="inlineStr">
        <is>
          <t>Coupe du monde de ski alpin</t>
        </is>
      </c>
      <c r="D608" s="9" t="inlineStr">
        <is>
          <t>2026-2027</t>
        </is>
      </c>
      <c r="E608" s="9" t="inlineStr">
        <is>
          <t>Super-G</t>
        </is>
      </c>
      <c r="F608" s="9" t="n"/>
      <c r="G608" s="9" t="inlineStr">
        <is>
          <t>Beaver Creek – Super-G Femmes</t>
        </is>
      </c>
      <c r="H608" s="10" t="n">
        <v>46369</v>
      </c>
      <c r="I608" s="10" t="n">
        <v>46369</v>
      </c>
      <c r="J608" s="11" t="n"/>
      <c r="K608" s="9" t="inlineStr">
        <is>
          <t>Europe/Paris</t>
        </is>
      </c>
      <c r="L608" s="9" t="inlineStr">
        <is>
          <t>Beaver Creek</t>
        </is>
      </c>
      <c r="M608" s="9" t="inlineStr">
        <is>
          <t>États-Unis</t>
        </is>
      </c>
      <c r="N608" s="9" t="inlineStr">
        <is>
          <t>Femmes</t>
        </is>
      </c>
      <c r="O608" s="9" t="inlineStr">
        <is>
          <t>Officiel</t>
        </is>
      </c>
      <c r="P608" s="9" t="inlineStr">
        <is>
          <t>Oui</t>
        </is>
      </c>
      <c r="Q608" s="9" t="inlineStr">
        <is>
          <t>https://en.neveitalia.it/sport/scialpino/calendario/coppa-del-mondo-femminile&amp;</t>
        </is>
      </c>
      <c r="R608" s="10" t="n">
        <v>46311</v>
      </c>
      <c r="S608" s="9" t="n"/>
      <c r="T608" s="9">
        <f>IF(H608="","",IF(MAX(H608,I608)&lt;TODAY(),"Terminé",IF(H608&lt;=TODAY(),"En cours","À venir")))</f>
        <v/>
      </c>
    </row>
    <row r="609">
      <c r="A609" s="9" t="inlineStr">
        <is>
          <t>SKI-2627-021</t>
        </is>
      </c>
      <c r="B609" s="9" t="inlineStr">
        <is>
          <t>Ski alpin</t>
        </is>
      </c>
      <c r="C609" s="9" t="inlineStr">
        <is>
          <t>Coupe du monde de ski alpin</t>
        </is>
      </c>
      <c r="D609" s="9" t="inlineStr">
        <is>
          <t>2026-2027</t>
        </is>
      </c>
      <c r="E609" s="9" t="inlineStr">
        <is>
          <t>Slalom</t>
        </is>
      </c>
      <c r="F609" s="9" t="n"/>
      <c r="G609" s="9" t="inlineStr">
        <is>
          <t>Val d'Isère – Slalom Hommes</t>
        </is>
      </c>
      <c r="H609" s="10" t="n">
        <v>46369</v>
      </c>
      <c r="I609" s="10" t="n">
        <v>46369</v>
      </c>
      <c r="J609" s="11" t="n"/>
      <c r="K609" s="9" t="inlineStr">
        <is>
          <t>Europe/Paris</t>
        </is>
      </c>
      <c r="L609" s="9" t="inlineStr">
        <is>
          <t>Val d'Isère</t>
        </is>
      </c>
      <c r="M609" s="9" t="inlineStr">
        <is>
          <t>France</t>
        </is>
      </c>
      <c r="N609" s="9" t="inlineStr">
        <is>
          <t>Hommes</t>
        </is>
      </c>
      <c r="O609" s="9" t="inlineStr">
        <is>
          <t>Officiel</t>
        </is>
      </c>
      <c r="P609" s="9" t="inlineStr">
        <is>
          <t>Oui</t>
        </is>
      </c>
      <c r="Q609" s="9" t="inlineStr">
        <is>
          <t>https://en.neveitalia.it/sport/scialpino/calendario</t>
        </is>
      </c>
      <c r="R609" s="10" t="n">
        <v>46311</v>
      </c>
      <c r="S609" s="9" t="n"/>
      <c r="T609" s="9">
        <f>IF(H609="","",IF(MAX(H609,I609)&lt;TODAY(),"Terminé",IF(H609&lt;=TODAY(),"En cours","À venir")))</f>
        <v/>
      </c>
    </row>
    <row r="610">
      <c r="A610" s="9" t="inlineStr">
        <is>
          <t>SKI-2627-022</t>
        </is>
      </c>
      <c r="B610" s="9" t="inlineStr">
        <is>
          <t>Ski alpin</t>
        </is>
      </c>
      <c r="C610" s="9" t="inlineStr">
        <is>
          <t>Coupe du monde de ski alpin</t>
        </is>
      </c>
      <c r="D610" s="9" t="inlineStr">
        <is>
          <t>2026-2027</t>
        </is>
      </c>
      <c r="E610" s="9" t="inlineStr">
        <is>
          <t>Super-G</t>
        </is>
      </c>
      <c r="F610" s="9" t="n"/>
      <c r="G610" s="9" t="inlineStr">
        <is>
          <t>St. Moritz – Super-G Femmes</t>
        </is>
      </c>
      <c r="H610" s="10" t="n">
        <v>46374</v>
      </c>
      <c r="I610" s="10" t="n">
        <v>46374</v>
      </c>
      <c r="J610" s="11" t="n"/>
      <c r="K610" s="9" t="inlineStr">
        <is>
          <t>Europe/Paris</t>
        </is>
      </c>
      <c r="L610" s="9" t="inlineStr">
        <is>
          <t>St. Moritz</t>
        </is>
      </c>
      <c r="M610" s="9" t="inlineStr">
        <is>
          <t>Suisse</t>
        </is>
      </c>
      <c r="N610" s="9" t="inlineStr">
        <is>
          <t>Femmes</t>
        </is>
      </c>
      <c r="O610" s="9" t="inlineStr">
        <is>
          <t>Officiel</t>
        </is>
      </c>
      <c r="P610" s="9" t="inlineStr">
        <is>
          <t>Oui</t>
        </is>
      </c>
      <c r="Q610" s="9" t="inlineStr">
        <is>
          <t>https://en.neveitalia.it/sport/scialpino/calendario/coppa-del-mondo-femminile&amp;</t>
        </is>
      </c>
      <c r="R610" s="10" t="n">
        <v>46311</v>
      </c>
      <c r="S610" s="9" t="n"/>
      <c r="T610" s="9">
        <f>IF(H610="","",IF(MAX(H610,I610)&lt;TODAY(),"Terminé",IF(H610&lt;=TODAY(),"En cours","À venir")))</f>
        <v/>
      </c>
    </row>
    <row r="611">
      <c r="A611" s="9" t="inlineStr">
        <is>
          <t>SKI-2627-023</t>
        </is>
      </c>
      <c r="B611" s="9" t="inlineStr">
        <is>
          <t>Ski alpin</t>
        </is>
      </c>
      <c r="C611" s="9" t="inlineStr">
        <is>
          <t>Coupe du monde de ski alpin</t>
        </is>
      </c>
      <c r="D611" s="9" t="inlineStr">
        <is>
          <t>2026-2027</t>
        </is>
      </c>
      <c r="E611" s="9" t="inlineStr">
        <is>
          <t>Super-G</t>
        </is>
      </c>
      <c r="F611" s="9" t="n"/>
      <c r="G611" s="9" t="inlineStr">
        <is>
          <t>Val Gardena – Super-G Hommes</t>
        </is>
      </c>
      <c r="H611" s="10" t="n">
        <v>46374</v>
      </c>
      <c r="I611" s="10" t="n">
        <v>46374</v>
      </c>
      <c r="J611" s="11" t="n"/>
      <c r="K611" s="9" t="inlineStr">
        <is>
          <t>Europe/Paris</t>
        </is>
      </c>
      <c r="L611" s="9" t="inlineStr">
        <is>
          <t>Val Gardena</t>
        </is>
      </c>
      <c r="M611" s="9" t="inlineStr">
        <is>
          <t>Italie</t>
        </is>
      </c>
      <c r="N611" s="9" t="inlineStr">
        <is>
          <t>Hommes</t>
        </is>
      </c>
      <c r="O611" s="9" t="inlineStr">
        <is>
          <t>Officiel</t>
        </is>
      </c>
      <c r="P611" s="9" t="inlineStr">
        <is>
          <t>Oui</t>
        </is>
      </c>
      <c r="Q611" s="9" t="inlineStr">
        <is>
          <t>https://en.neveitalia.it/sport/scialpino/calendario</t>
        </is>
      </c>
      <c r="R611" s="10" t="n">
        <v>46311</v>
      </c>
      <c r="S611" s="9" t="n"/>
      <c r="T611" s="9">
        <f>IF(H611="","",IF(MAX(H611,I611)&lt;TODAY(),"Terminé",IF(H611&lt;=TODAY(),"En cours","À venir")))</f>
        <v/>
      </c>
    </row>
    <row r="612">
      <c r="A612" s="9" t="inlineStr">
        <is>
          <t>SKI-2627-024</t>
        </is>
      </c>
      <c r="B612" s="9" t="inlineStr">
        <is>
          <t>Ski alpin</t>
        </is>
      </c>
      <c r="C612" s="9" t="inlineStr">
        <is>
          <t>Coupe du monde de ski alpin</t>
        </is>
      </c>
      <c r="D612" s="9" t="inlineStr">
        <is>
          <t>2026-2027</t>
        </is>
      </c>
      <c r="E612" s="9" t="inlineStr">
        <is>
          <t>Super-G</t>
        </is>
      </c>
      <c r="F612" s="9" t="n"/>
      <c r="G612" s="9" t="inlineStr">
        <is>
          <t>St. Moritz – Super-G Femmes</t>
        </is>
      </c>
      <c r="H612" s="10" t="n">
        <v>46375</v>
      </c>
      <c r="I612" s="10" t="n">
        <v>46375</v>
      </c>
      <c r="J612" s="11" t="n"/>
      <c r="K612" s="9" t="inlineStr">
        <is>
          <t>Europe/Paris</t>
        </is>
      </c>
      <c r="L612" s="9" t="inlineStr">
        <is>
          <t>St. Moritz</t>
        </is>
      </c>
      <c r="M612" s="9" t="inlineStr">
        <is>
          <t>Suisse</t>
        </is>
      </c>
      <c r="N612" s="9" t="inlineStr">
        <is>
          <t>Femmes</t>
        </is>
      </c>
      <c r="O612" s="9" t="inlineStr">
        <is>
          <t>Officiel</t>
        </is>
      </c>
      <c r="P612" s="9" t="inlineStr">
        <is>
          <t>Oui</t>
        </is>
      </c>
      <c r="Q612" s="9" t="inlineStr">
        <is>
          <t>https://en.neveitalia.it/sport/scialpino/calendario/coppa-del-mondo-femminile&amp;</t>
        </is>
      </c>
      <c r="R612" s="10" t="n">
        <v>46311</v>
      </c>
      <c r="S612" s="9" t="n"/>
      <c r="T612" s="9">
        <f>IF(H612="","",IF(MAX(H612,I612)&lt;TODAY(),"Terminé",IF(H612&lt;=TODAY(),"En cours","À venir")))</f>
        <v/>
      </c>
    </row>
    <row r="613">
      <c r="A613" s="9" t="inlineStr">
        <is>
          <t>SKI-2627-025</t>
        </is>
      </c>
      <c r="B613" s="9" t="inlineStr">
        <is>
          <t>Ski alpin</t>
        </is>
      </c>
      <c r="C613" s="9" t="inlineStr">
        <is>
          <t>Coupe du monde de ski alpin</t>
        </is>
      </c>
      <c r="D613" s="9" t="inlineStr">
        <is>
          <t>2026-2027</t>
        </is>
      </c>
      <c r="E613" s="9" t="inlineStr">
        <is>
          <t>Descente</t>
        </is>
      </c>
      <c r="F613" s="9" t="n"/>
      <c r="G613" s="9" t="inlineStr">
        <is>
          <t>Val Gardena – Descente Hommes</t>
        </is>
      </c>
      <c r="H613" s="10" t="n">
        <v>46375</v>
      </c>
      <c r="I613" s="10" t="n">
        <v>46375</v>
      </c>
      <c r="J613" s="11" t="n"/>
      <c r="K613" s="9" t="inlineStr">
        <is>
          <t>Europe/Paris</t>
        </is>
      </c>
      <c r="L613" s="9" t="inlineStr">
        <is>
          <t>Val Gardena</t>
        </is>
      </c>
      <c r="M613" s="9" t="inlineStr">
        <is>
          <t>Italie</t>
        </is>
      </c>
      <c r="N613" s="9" t="inlineStr">
        <is>
          <t>Hommes</t>
        </is>
      </c>
      <c r="O613" s="9" t="inlineStr">
        <is>
          <t>Officiel</t>
        </is>
      </c>
      <c r="P613" s="9" t="inlineStr">
        <is>
          <t>Oui</t>
        </is>
      </c>
      <c r="Q613" s="9" t="inlineStr">
        <is>
          <t>https://en.neveitalia.it/sport/scialpino/calendario</t>
        </is>
      </c>
      <c r="R613" s="10" t="n">
        <v>46311</v>
      </c>
      <c r="S613" s="9" t="n"/>
      <c r="T613" s="9">
        <f>IF(H613="","",IF(MAX(H613,I613)&lt;TODAY(),"Terminé",IF(H613&lt;=TODAY(),"En cours","À venir")))</f>
        <v/>
      </c>
    </row>
    <row r="614">
      <c r="A614" s="9" t="inlineStr">
        <is>
          <t>SKI-2627-026</t>
        </is>
      </c>
      <c r="B614" s="9" t="inlineStr">
        <is>
          <t>Ski alpin</t>
        </is>
      </c>
      <c r="C614" s="9" t="inlineStr">
        <is>
          <t>Coupe du monde de ski alpin</t>
        </is>
      </c>
      <c r="D614" s="9" t="inlineStr">
        <is>
          <t>2026-2027</t>
        </is>
      </c>
      <c r="E614" s="9" t="inlineStr">
        <is>
          <t>Slalom géant</t>
        </is>
      </c>
      <c r="F614" s="9" t="n"/>
      <c r="G614" s="9" t="inlineStr">
        <is>
          <t>St. Moritz – Slalom géant Femmes</t>
        </is>
      </c>
      <c r="H614" s="10" t="n">
        <v>46376</v>
      </c>
      <c r="I614" s="10" t="n">
        <v>46376</v>
      </c>
      <c r="J614" s="11" t="n"/>
      <c r="K614" s="9" t="inlineStr">
        <is>
          <t>Europe/Paris</t>
        </is>
      </c>
      <c r="L614" s="9" t="inlineStr">
        <is>
          <t>St. Moritz</t>
        </is>
      </c>
      <c r="M614" s="9" t="inlineStr">
        <is>
          <t>Suisse</t>
        </is>
      </c>
      <c r="N614" s="9" t="inlineStr">
        <is>
          <t>Femmes</t>
        </is>
      </c>
      <c r="O614" s="9" t="inlineStr">
        <is>
          <t>Officiel</t>
        </is>
      </c>
      <c r="P614" s="9" t="inlineStr">
        <is>
          <t>Oui</t>
        </is>
      </c>
      <c r="Q614" s="9" t="inlineStr">
        <is>
          <t>https://en.neveitalia.it/sport/scialpino/calendario/coppa-del-mondo-femminile&amp;</t>
        </is>
      </c>
      <c r="R614" s="10" t="n">
        <v>46311</v>
      </c>
      <c r="S614" s="9" t="n"/>
      <c r="T614" s="9">
        <f>IF(H614="","",IF(MAX(H614,I614)&lt;TODAY(),"Terminé",IF(H614&lt;=TODAY(),"En cours","À venir")))</f>
        <v/>
      </c>
    </row>
    <row r="615">
      <c r="A615" s="9" t="inlineStr">
        <is>
          <t>SKI-2627-027</t>
        </is>
      </c>
      <c r="B615" s="9" t="inlineStr">
        <is>
          <t>Ski alpin</t>
        </is>
      </c>
      <c r="C615" s="9" t="inlineStr">
        <is>
          <t>Coupe du monde de ski alpin</t>
        </is>
      </c>
      <c r="D615" s="9" t="inlineStr">
        <is>
          <t>2026-2027</t>
        </is>
      </c>
      <c r="E615" s="9" t="inlineStr">
        <is>
          <t>Slalom géant</t>
        </is>
      </c>
      <c r="F615" s="9" t="n"/>
      <c r="G615" s="9" t="inlineStr">
        <is>
          <t>Alta Badia – Slalom géant Hommes</t>
        </is>
      </c>
      <c r="H615" s="10" t="n">
        <v>46376</v>
      </c>
      <c r="I615" s="10" t="n">
        <v>46376</v>
      </c>
      <c r="J615" s="11" t="n"/>
      <c r="K615" s="9" t="inlineStr">
        <is>
          <t>Europe/Paris</t>
        </is>
      </c>
      <c r="L615" s="9" t="inlineStr">
        <is>
          <t>Alta Badia</t>
        </is>
      </c>
      <c r="M615" s="9" t="inlineStr">
        <is>
          <t>Italie</t>
        </is>
      </c>
      <c r="N615" s="9" t="inlineStr">
        <is>
          <t>Hommes</t>
        </is>
      </c>
      <c r="O615" s="9" t="inlineStr">
        <is>
          <t>Officiel</t>
        </is>
      </c>
      <c r="P615" s="9" t="inlineStr">
        <is>
          <t>Oui</t>
        </is>
      </c>
      <c r="Q615" s="9" t="inlineStr">
        <is>
          <t>https://en.neveitalia.it/sport/scialpino/calendario</t>
        </is>
      </c>
      <c r="R615" s="10" t="n">
        <v>46311</v>
      </c>
      <c r="S615" s="9" t="n"/>
      <c r="T615" s="9">
        <f>IF(H615="","",IF(MAX(H615,I615)&lt;TODAY(),"Terminé",IF(H615&lt;=TODAY(),"En cours","À venir")))</f>
        <v/>
      </c>
    </row>
    <row r="616">
      <c r="A616" s="9" t="inlineStr">
        <is>
          <t>SKI-2627-028</t>
        </is>
      </c>
      <c r="B616" s="9" t="inlineStr">
        <is>
          <t>Ski alpin</t>
        </is>
      </c>
      <c r="C616" s="9" t="inlineStr">
        <is>
          <t>Coupe du monde de ski alpin</t>
        </is>
      </c>
      <c r="D616" s="9" t="inlineStr">
        <is>
          <t>2026-2027</t>
        </is>
      </c>
      <c r="E616" s="9" t="inlineStr">
        <is>
          <t>Slalom</t>
        </is>
      </c>
      <c r="F616" s="9" t="n"/>
      <c r="G616" s="9" t="inlineStr">
        <is>
          <t>Alta Badia – Slalom Hommes</t>
        </is>
      </c>
      <c r="H616" s="10" t="n">
        <v>46377</v>
      </c>
      <c r="I616" s="10" t="n">
        <v>46377</v>
      </c>
      <c r="J616" s="11" t="n"/>
      <c r="K616" s="9" t="inlineStr">
        <is>
          <t>Europe/Paris</t>
        </is>
      </c>
      <c r="L616" s="9" t="inlineStr">
        <is>
          <t>Alta Badia</t>
        </is>
      </c>
      <c r="M616" s="9" t="inlineStr">
        <is>
          <t>Italie</t>
        </is>
      </c>
      <c r="N616" s="9" t="inlineStr">
        <is>
          <t>Hommes</t>
        </is>
      </c>
      <c r="O616" s="9" t="inlineStr">
        <is>
          <t>Officiel</t>
        </is>
      </c>
      <c r="P616" s="9" t="inlineStr">
        <is>
          <t>Oui</t>
        </is>
      </c>
      <c r="Q616" s="9" t="inlineStr">
        <is>
          <t>https://en.neveitalia.it/sport/scialpino/calendario</t>
        </is>
      </c>
      <c r="R616" s="10" t="n">
        <v>46311</v>
      </c>
      <c r="S616" s="9" t="n"/>
      <c r="T616" s="9">
        <f>IF(H616="","",IF(MAX(H616,I616)&lt;TODAY(),"Terminé",IF(H616&lt;=TODAY(),"En cours","À venir")))</f>
        <v/>
      </c>
    </row>
    <row r="617">
      <c r="A617" s="9" t="inlineStr">
        <is>
          <t>SKI-2627-029</t>
        </is>
      </c>
      <c r="B617" s="9" t="inlineStr">
        <is>
          <t>Ski alpin</t>
        </is>
      </c>
      <c r="C617" s="9" t="inlineStr">
        <is>
          <t>Coupe du monde de ski alpin</t>
        </is>
      </c>
      <c r="D617" s="9" t="inlineStr">
        <is>
          <t>2026-2027</t>
        </is>
      </c>
      <c r="E617" s="9" t="inlineStr">
        <is>
          <t>Slalom</t>
        </is>
      </c>
      <c r="F617" s="9" t="n"/>
      <c r="G617" s="9" t="inlineStr">
        <is>
          <t>Courchevel – Slalom Femmes</t>
        </is>
      </c>
      <c r="H617" s="10" t="n">
        <v>46378</v>
      </c>
      <c r="I617" s="10" t="n">
        <v>46378</v>
      </c>
      <c r="J617" s="11" t="n"/>
      <c r="K617" s="9" t="inlineStr">
        <is>
          <t>Europe/Paris</t>
        </is>
      </c>
      <c r="L617" s="9" t="inlineStr">
        <is>
          <t>Courchevel</t>
        </is>
      </c>
      <c r="M617" s="9" t="inlineStr">
        <is>
          <t>France</t>
        </is>
      </c>
      <c r="N617" s="9" t="inlineStr">
        <is>
          <t>Femmes</t>
        </is>
      </c>
      <c r="O617" s="9" t="inlineStr">
        <is>
          <t>Officiel</t>
        </is>
      </c>
      <c r="P617" s="9" t="inlineStr">
        <is>
          <t>Oui</t>
        </is>
      </c>
      <c r="Q617" s="9" t="inlineStr">
        <is>
          <t>https://en.neveitalia.it/sport/scialpino/calendario/coppa-del-mondo-femminile&amp;</t>
        </is>
      </c>
      <c r="R617" s="10" t="n">
        <v>46311</v>
      </c>
      <c r="S617" s="9" t="inlineStr">
        <is>
          <t>Lieu exact en France à confirmer (possible transfert à Méribel)</t>
        </is>
      </c>
      <c r="T617" s="9">
        <f>IF(H617="","",IF(MAX(H617,I617)&lt;TODAY(),"Terminé",IF(H617&lt;=TODAY(),"En cours","À venir")))</f>
        <v/>
      </c>
    </row>
    <row r="618">
      <c r="A618" s="9" t="inlineStr">
        <is>
          <t>SKI-2627-030</t>
        </is>
      </c>
      <c r="B618" s="9" t="inlineStr">
        <is>
          <t>Ski alpin</t>
        </is>
      </c>
      <c r="C618" s="9" t="inlineStr">
        <is>
          <t>Coupe du monde de ski alpin</t>
        </is>
      </c>
      <c r="D618" s="9" t="inlineStr">
        <is>
          <t>2026-2027</t>
        </is>
      </c>
      <c r="E618" s="9" t="inlineStr">
        <is>
          <t>Slalom</t>
        </is>
      </c>
      <c r="F618" s="9" t="n"/>
      <c r="G618" s="9" t="inlineStr">
        <is>
          <t>Madonna di Campiglio – Slalom Hommes</t>
        </is>
      </c>
      <c r="H618" s="10" t="n">
        <v>46379</v>
      </c>
      <c r="I618" s="10" t="n">
        <v>46379</v>
      </c>
      <c r="J618" s="11" t="n"/>
      <c r="K618" s="9" t="inlineStr">
        <is>
          <t>Europe/Paris</t>
        </is>
      </c>
      <c r="L618" s="9" t="inlineStr">
        <is>
          <t>Madonna di Campiglio</t>
        </is>
      </c>
      <c r="M618" s="9" t="inlineStr">
        <is>
          <t>Italie</t>
        </is>
      </c>
      <c r="N618" s="9" t="inlineStr">
        <is>
          <t>Hommes</t>
        </is>
      </c>
      <c r="O618" s="9" t="inlineStr">
        <is>
          <t>Officiel</t>
        </is>
      </c>
      <c r="P618" s="9" t="inlineStr">
        <is>
          <t>Oui</t>
        </is>
      </c>
      <c r="Q618" s="9" t="inlineStr">
        <is>
          <t>https://en.neveitalia.it/sport/scialpino/calendario</t>
        </is>
      </c>
      <c r="R618" s="10" t="n">
        <v>46311</v>
      </c>
      <c r="S618" s="9" t="inlineStr">
        <is>
          <t>Slalom nocturne</t>
        </is>
      </c>
      <c r="T618" s="9">
        <f>IF(H618="","",IF(MAX(H618,I618)&lt;TODAY(),"Terminé",IF(H618&lt;=TODAY(),"En cours","À venir")))</f>
        <v/>
      </c>
    </row>
    <row r="619">
      <c r="A619" s="9" t="inlineStr">
        <is>
          <t>SKI-2627-031</t>
        </is>
      </c>
      <c r="B619" s="9" t="inlineStr">
        <is>
          <t>Ski alpin</t>
        </is>
      </c>
      <c r="C619" s="9" t="inlineStr">
        <is>
          <t>Coupe du monde de ski alpin</t>
        </is>
      </c>
      <c r="D619" s="9" t="inlineStr">
        <is>
          <t>2026-2027</t>
        </is>
      </c>
      <c r="E619" s="9" t="inlineStr">
        <is>
          <t>Slalom géant</t>
        </is>
      </c>
      <c r="F619" s="9" t="n"/>
      <c r="G619" s="9" t="inlineStr">
        <is>
          <t>Gosau (Dachstein West) – Slalom géant Femmes</t>
        </is>
      </c>
      <c r="H619" s="10" t="n">
        <v>46384</v>
      </c>
      <c r="I619" s="10" t="n">
        <v>46384</v>
      </c>
      <c r="J619" s="11" t="n"/>
      <c r="K619" s="9" t="inlineStr">
        <is>
          <t>Europe/Paris</t>
        </is>
      </c>
      <c r="L619" s="9" t="inlineStr">
        <is>
          <t>Gosau (Dachstein West)</t>
        </is>
      </c>
      <c r="M619" s="9" t="inlineStr">
        <is>
          <t>Autriche</t>
        </is>
      </c>
      <c r="N619" s="9" t="inlineStr">
        <is>
          <t>Femmes</t>
        </is>
      </c>
      <c r="O619" s="9" t="inlineStr">
        <is>
          <t>Officiel</t>
        </is>
      </c>
      <c r="P619" s="9" t="inlineStr">
        <is>
          <t>Oui</t>
        </is>
      </c>
      <c r="Q619" s="9" t="inlineStr">
        <is>
          <t>https://en.neveitalia.it/sport/scialpino/calendario/coppa-del-mondo-femminile&amp;</t>
        </is>
      </c>
      <c r="R619" s="10" t="n">
        <v>46311</v>
      </c>
      <c r="S619" s="9" t="n"/>
      <c r="T619" s="9">
        <f>IF(H619="","",IF(MAX(H619,I619)&lt;TODAY(),"Terminé",IF(H619&lt;=TODAY(),"En cours","À venir")))</f>
        <v/>
      </c>
    </row>
    <row r="620">
      <c r="A620" s="9" t="inlineStr">
        <is>
          <t>SKI-2627-032</t>
        </is>
      </c>
      <c r="B620" s="9" t="inlineStr">
        <is>
          <t>Ski alpin</t>
        </is>
      </c>
      <c r="C620" s="9" t="inlineStr">
        <is>
          <t>Coupe du monde de ski alpin</t>
        </is>
      </c>
      <c r="D620" s="9" t="inlineStr">
        <is>
          <t>2026-2027</t>
        </is>
      </c>
      <c r="E620" s="9" t="inlineStr">
        <is>
          <t>Descente</t>
        </is>
      </c>
      <c r="F620" s="9" t="n"/>
      <c r="G620" s="9" t="inlineStr">
        <is>
          <t>Bormio – Descente Hommes</t>
        </is>
      </c>
      <c r="H620" s="10" t="n">
        <v>46384</v>
      </c>
      <c r="I620" s="10" t="n">
        <v>46384</v>
      </c>
      <c r="J620" s="11" t="n"/>
      <c r="K620" s="9" t="inlineStr">
        <is>
          <t>Europe/Paris</t>
        </is>
      </c>
      <c r="L620" s="9" t="inlineStr">
        <is>
          <t>Bormio</t>
        </is>
      </c>
      <c r="M620" s="9" t="inlineStr">
        <is>
          <t>Italie</t>
        </is>
      </c>
      <c r="N620" s="9" t="inlineStr">
        <is>
          <t>Hommes</t>
        </is>
      </c>
      <c r="O620" s="9" t="inlineStr">
        <is>
          <t>Officiel</t>
        </is>
      </c>
      <c r="P620" s="9" t="inlineStr">
        <is>
          <t>Oui</t>
        </is>
      </c>
      <c r="Q620" s="9" t="inlineStr">
        <is>
          <t>https://en.neveitalia.it/sport/scialpino/calendario</t>
        </is>
      </c>
      <c r="R620" s="10" t="n">
        <v>46311</v>
      </c>
      <c r="S620" s="9" t="n"/>
      <c r="T620" s="9">
        <f>IF(H620="","",IF(MAX(H620,I620)&lt;TODAY(),"Terminé",IF(H620&lt;=TODAY(),"En cours","À venir")))</f>
        <v/>
      </c>
    </row>
    <row r="621">
      <c r="A621" s="9" t="inlineStr">
        <is>
          <t>SKI-2627-033</t>
        </is>
      </c>
      <c r="B621" s="9" t="inlineStr">
        <is>
          <t>Ski alpin</t>
        </is>
      </c>
      <c r="C621" s="9" t="inlineStr">
        <is>
          <t>Coupe du monde de ski alpin</t>
        </is>
      </c>
      <c r="D621" s="9" t="inlineStr">
        <is>
          <t>2026-2027</t>
        </is>
      </c>
      <c r="E621" s="9" t="inlineStr">
        <is>
          <t>Slalom</t>
        </is>
      </c>
      <c r="F621" s="9" t="n"/>
      <c r="G621" s="9" t="inlineStr">
        <is>
          <t>Gosau (Dachstein West) – Slalom Femmes</t>
        </is>
      </c>
      <c r="H621" s="10" t="n">
        <v>46385</v>
      </c>
      <c r="I621" s="10" t="n">
        <v>46385</v>
      </c>
      <c r="J621" s="11" t="n"/>
      <c r="K621" s="9" t="inlineStr">
        <is>
          <t>Europe/Paris</t>
        </is>
      </c>
      <c r="L621" s="9" t="inlineStr">
        <is>
          <t>Gosau (Dachstein West)</t>
        </is>
      </c>
      <c r="M621" s="9" t="inlineStr">
        <is>
          <t>Autriche</t>
        </is>
      </c>
      <c r="N621" s="9" t="inlineStr">
        <is>
          <t>Femmes</t>
        </is>
      </c>
      <c r="O621" s="9" t="inlineStr">
        <is>
          <t>Officiel</t>
        </is>
      </c>
      <c r="P621" s="9" t="inlineStr">
        <is>
          <t>Oui</t>
        </is>
      </c>
      <c r="Q621" s="9" t="inlineStr">
        <is>
          <t>https://en.neveitalia.it/sport/scialpino/calendario/coppa-del-mondo-femminile&amp;</t>
        </is>
      </c>
      <c r="R621" s="10" t="n">
        <v>46311</v>
      </c>
      <c r="S621" s="9" t="n"/>
      <c r="T621" s="9">
        <f>IF(H621="","",IF(MAX(H621,I621)&lt;TODAY(),"Terminé",IF(H621&lt;=TODAY(),"En cours","À venir")))</f>
        <v/>
      </c>
    </row>
    <row r="622">
      <c r="A622" s="9" t="inlineStr">
        <is>
          <t>SKI-2627-034</t>
        </is>
      </c>
      <c r="B622" s="9" t="inlineStr">
        <is>
          <t>Ski alpin</t>
        </is>
      </c>
      <c r="C622" s="9" t="inlineStr">
        <is>
          <t>Coupe du monde de ski alpin</t>
        </is>
      </c>
      <c r="D622" s="9" t="inlineStr">
        <is>
          <t>2026-2027</t>
        </is>
      </c>
      <c r="E622" s="9" t="inlineStr">
        <is>
          <t>Super-G</t>
        </is>
      </c>
      <c r="F622" s="9" t="n"/>
      <c r="G622" s="9" t="inlineStr">
        <is>
          <t>Bormio – Super-G Hommes</t>
        </is>
      </c>
      <c r="H622" s="10" t="n">
        <v>46385</v>
      </c>
      <c r="I622" s="10" t="n">
        <v>46385</v>
      </c>
      <c r="J622" s="11" t="n"/>
      <c r="K622" s="9" t="inlineStr">
        <is>
          <t>Europe/Paris</t>
        </is>
      </c>
      <c r="L622" s="9" t="inlineStr">
        <is>
          <t>Bormio</t>
        </is>
      </c>
      <c r="M622" s="9" t="inlineStr">
        <is>
          <t>Italie</t>
        </is>
      </c>
      <c r="N622" s="9" t="inlineStr">
        <is>
          <t>Hommes</t>
        </is>
      </c>
      <c r="O622" s="9" t="inlineStr">
        <is>
          <t>Officiel</t>
        </is>
      </c>
      <c r="P622" s="9" t="inlineStr">
        <is>
          <t>Oui</t>
        </is>
      </c>
      <c r="Q622" s="9" t="inlineStr">
        <is>
          <t>https://en.neveitalia.it/sport/scialpino/calendario</t>
        </is>
      </c>
      <c r="R622" s="10" t="n">
        <v>46311</v>
      </c>
      <c r="S622" s="9" t="n"/>
      <c r="T622" s="9">
        <f>IF(H622="","",IF(MAX(H622,I622)&lt;TODAY(),"Terminé",IF(H622&lt;=TODAY(),"En cours","À venir")))</f>
        <v/>
      </c>
    </row>
    <row r="623">
      <c r="A623" s="9" t="inlineStr">
        <is>
          <t>SKI-2627-035</t>
        </is>
      </c>
      <c r="B623" s="9" t="inlineStr">
        <is>
          <t>Ski alpin</t>
        </is>
      </c>
      <c r="C623" s="9" t="inlineStr">
        <is>
          <t>Coupe du monde de ski alpin</t>
        </is>
      </c>
      <c r="D623" s="9" t="inlineStr">
        <is>
          <t>2026-2027</t>
        </is>
      </c>
      <c r="E623" s="9" t="inlineStr">
        <is>
          <t>Slalom géant</t>
        </is>
      </c>
      <c r="F623" s="9" t="n"/>
      <c r="G623" s="9" t="inlineStr">
        <is>
          <t>Kranjska Gora – Slalom géant Hommes</t>
        </is>
      </c>
      <c r="H623" s="10" t="n">
        <v>46389</v>
      </c>
      <c r="I623" s="10" t="n">
        <v>46389</v>
      </c>
      <c r="J623" s="11" t="n"/>
      <c r="K623" s="9" t="inlineStr">
        <is>
          <t>Europe/Paris</t>
        </is>
      </c>
      <c r="L623" s="9" t="inlineStr">
        <is>
          <t>Kranjska Gora</t>
        </is>
      </c>
      <c r="M623" s="9" t="inlineStr">
        <is>
          <t>Slovénie</t>
        </is>
      </c>
      <c r="N623" s="9" t="inlineStr">
        <is>
          <t>Hommes</t>
        </is>
      </c>
      <c r="O623" s="9" t="inlineStr">
        <is>
          <t>Officiel</t>
        </is>
      </c>
      <c r="P623" s="9" t="inlineStr">
        <is>
          <t>Oui</t>
        </is>
      </c>
      <c r="Q623" s="9" t="inlineStr">
        <is>
          <t>https://en.neveitalia.it/sport/scialpino/calendario</t>
        </is>
      </c>
      <c r="R623" s="10" t="n">
        <v>46311</v>
      </c>
      <c r="S623" s="9" t="n"/>
      <c r="T623" s="9">
        <f>IF(H623="","",IF(MAX(H623,I623)&lt;TODAY(),"Terminé",IF(H623&lt;=TODAY(),"En cours","À venir")))</f>
        <v/>
      </c>
    </row>
    <row r="624">
      <c r="A624" s="9" t="inlineStr">
        <is>
          <t>SKI-2627-036</t>
        </is>
      </c>
      <c r="B624" s="9" t="inlineStr">
        <is>
          <t>Ski alpin</t>
        </is>
      </c>
      <c r="C624" s="9" t="inlineStr">
        <is>
          <t>Coupe du monde de ski alpin</t>
        </is>
      </c>
      <c r="D624" s="9" t="inlineStr">
        <is>
          <t>2026-2027</t>
        </is>
      </c>
      <c r="E624" s="9" t="inlineStr">
        <is>
          <t>Slalom</t>
        </is>
      </c>
      <c r="F624" s="9" t="n"/>
      <c r="G624" s="9" t="inlineStr">
        <is>
          <t>Kranjska Gora – Slalom Hommes</t>
        </is>
      </c>
      <c r="H624" s="10" t="n">
        <v>46390</v>
      </c>
      <c r="I624" s="10" t="n">
        <v>46390</v>
      </c>
      <c r="J624" s="11" t="n"/>
      <c r="K624" s="9" t="inlineStr">
        <is>
          <t>Europe/Paris</t>
        </is>
      </c>
      <c r="L624" s="9" t="inlineStr">
        <is>
          <t>Kranjska Gora</t>
        </is>
      </c>
      <c r="M624" s="9" t="inlineStr">
        <is>
          <t>Slovénie</t>
        </is>
      </c>
      <c r="N624" s="9" t="inlineStr">
        <is>
          <t>Hommes</t>
        </is>
      </c>
      <c r="O624" s="9" t="inlineStr">
        <is>
          <t>Officiel</t>
        </is>
      </c>
      <c r="P624" s="9" t="inlineStr">
        <is>
          <t>Oui</t>
        </is>
      </c>
      <c r="Q624" s="9" t="inlineStr">
        <is>
          <t>https://en.neveitalia.it/sport/scialpino/calendario</t>
        </is>
      </c>
      <c r="R624" s="10" t="n">
        <v>46311</v>
      </c>
      <c r="S624" s="9" t="n"/>
      <c r="T624" s="9">
        <f>IF(H624="","",IF(MAX(H624,I624)&lt;TODAY(),"Terminé",IF(H624&lt;=TODAY(),"En cours","À venir")))</f>
        <v/>
      </c>
    </row>
    <row r="625">
      <c r="A625" s="9" t="inlineStr">
        <is>
          <t>SKI-2627-037</t>
        </is>
      </c>
      <c r="B625" s="9" t="inlineStr">
        <is>
          <t>Ski alpin</t>
        </is>
      </c>
      <c r="C625" s="9" t="inlineStr">
        <is>
          <t>Coupe du monde de ski alpin</t>
        </is>
      </c>
      <c r="D625" s="9" t="inlineStr">
        <is>
          <t>2026-2027</t>
        </is>
      </c>
      <c r="E625" s="9" t="inlineStr">
        <is>
          <t>Slalom géant</t>
        </is>
      </c>
      <c r="F625" s="9" t="n"/>
      <c r="G625" s="9" t="inlineStr">
        <is>
          <t>Flachau – Slalom géant Femmes</t>
        </is>
      </c>
      <c r="H625" s="10" t="n">
        <v>46391</v>
      </c>
      <c r="I625" s="10" t="n">
        <v>46391</v>
      </c>
      <c r="J625" s="11" t="n"/>
      <c r="K625" s="9" t="inlineStr">
        <is>
          <t>Europe/Paris</t>
        </is>
      </c>
      <c r="L625" s="9" t="inlineStr">
        <is>
          <t>Flachau</t>
        </is>
      </c>
      <c r="M625" s="9" t="inlineStr">
        <is>
          <t>Autriche</t>
        </is>
      </c>
      <c r="N625" s="9" t="inlineStr">
        <is>
          <t>Femmes</t>
        </is>
      </c>
      <c r="O625" s="9" t="inlineStr">
        <is>
          <t>Officiel</t>
        </is>
      </c>
      <c r="P625" s="9" t="inlineStr">
        <is>
          <t>Oui</t>
        </is>
      </c>
      <c r="Q625" s="9" t="inlineStr">
        <is>
          <t>https://en.neveitalia.it/sport/scialpino/calendario/coppa-del-mondo-femminile&amp;</t>
        </is>
      </c>
      <c r="R625" s="10" t="n">
        <v>46311</v>
      </c>
      <c r="S625" s="9" t="n"/>
      <c r="T625" s="9">
        <f>IF(H625="","",IF(MAX(H625,I625)&lt;TODAY(),"Terminé",IF(H625&lt;=TODAY(),"En cours","À venir")))</f>
        <v/>
      </c>
    </row>
    <row r="626">
      <c r="A626" s="9" t="inlineStr">
        <is>
          <t>SKI-2627-038</t>
        </is>
      </c>
      <c r="B626" s="9" t="inlineStr">
        <is>
          <t>Ski alpin</t>
        </is>
      </c>
      <c r="C626" s="9" t="inlineStr">
        <is>
          <t>Coupe du monde de ski alpin</t>
        </is>
      </c>
      <c r="D626" s="9" t="inlineStr">
        <is>
          <t>2026-2027</t>
        </is>
      </c>
      <c r="E626" s="9" t="inlineStr">
        <is>
          <t>Slalom</t>
        </is>
      </c>
      <c r="F626" s="9" t="n"/>
      <c r="G626" s="9" t="inlineStr">
        <is>
          <t>Flachau – Slalom Femmes</t>
        </is>
      </c>
      <c r="H626" s="10" t="n">
        <v>46392</v>
      </c>
      <c r="I626" s="10" t="n">
        <v>46392</v>
      </c>
      <c r="J626" s="11" t="n"/>
      <c r="K626" s="9" t="inlineStr">
        <is>
          <t>Europe/Paris</t>
        </is>
      </c>
      <c r="L626" s="9" t="inlineStr">
        <is>
          <t>Flachau</t>
        </is>
      </c>
      <c r="M626" s="9" t="inlineStr">
        <is>
          <t>Autriche</t>
        </is>
      </c>
      <c r="N626" s="9" t="inlineStr">
        <is>
          <t>Femmes</t>
        </is>
      </c>
      <c r="O626" s="9" t="inlineStr">
        <is>
          <t>Officiel</t>
        </is>
      </c>
      <c r="P626" s="9" t="inlineStr">
        <is>
          <t>Oui</t>
        </is>
      </c>
      <c r="Q626" s="9" t="inlineStr">
        <is>
          <t>https://en.neveitalia.it/sport/scialpino/calendario/coppa-del-mondo-femminile&amp;</t>
        </is>
      </c>
      <c r="R626" s="10" t="n">
        <v>46311</v>
      </c>
      <c r="S626" s="9" t="n"/>
      <c r="T626" s="9">
        <f>IF(H626="","",IF(MAX(H626,I626)&lt;TODAY(),"Terminé",IF(H626&lt;=TODAY(),"En cours","À venir")))</f>
        <v/>
      </c>
    </row>
    <row r="627">
      <c r="A627" s="9" t="inlineStr">
        <is>
          <t>SKI-2627-039</t>
        </is>
      </c>
      <c r="B627" s="9" t="inlineStr">
        <is>
          <t>Ski alpin</t>
        </is>
      </c>
      <c r="C627" s="9" t="inlineStr">
        <is>
          <t>Coupe du monde de ski alpin</t>
        </is>
      </c>
      <c r="D627" s="9" t="inlineStr">
        <is>
          <t>2026-2027</t>
        </is>
      </c>
      <c r="E627" s="9" t="inlineStr">
        <is>
          <t>Descente</t>
        </is>
      </c>
      <c r="F627" s="9" t="n"/>
      <c r="G627" s="9" t="inlineStr">
        <is>
          <t>Val di Fassa – Descente Femmes</t>
        </is>
      </c>
      <c r="H627" s="10" t="n">
        <v>46396</v>
      </c>
      <c r="I627" s="10" t="n">
        <v>46396</v>
      </c>
      <c r="J627" s="11" t="n"/>
      <c r="K627" s="9" t="inlineStr">
        <is>
          <t>Europe/Paris</t>
        </is>
      </c>
      <c r="L627" s="9" t="inlineStr">
        <is>
          <t>Val di Fassa</t>
        </is>
      </c>
      <c r="M627" s="9" t="inlineStr">
        <is>
          <t>Italie</t>
        </is>
      </c>
      <c r="N627" s="9" t="inlineStr">
        <is>
          <t>Femmes</t>
        </is>
      </c>
      <c r="O627" s="9" t="inlineStr">
        <is>
          <t>Officiel</t>
        </is>
      </c>
      <c r="P627" s="9" t="inlineStr">
        <is>
          <t>Oui</t>
        </is>
      </c>
      <c r="Q627" s="9" t="inlineStr">
        <is>
          <t>https://en.neveitalia.it/sport/scialpino/calendario/coppa-del-mondo-femminile&amp;</t>
        </is>
      </c>
      <c r="R627" s="10" t="n">
        <v>46311</v>
      </c>
      <c r="S627" s="9" t="n"/>
      <c r="T627" s="9">
        <f>IF(H627="","",IF(MAX(H627,I627)&lt;TODAY(),"Terminé",IF(H627&lt;=TODAY(),"En cours","À venir")))</f>
        <v/>
      </c>
    </row>
    <row r="628">
      <c r="A628" s="9" t="inlineStr">
        <is>
          <t>SKI-2627-040</t>
        </is>
      </c>
      <c r="B628" s="9" t="inlineStr">
        <is>
          <t>Ski alpin</t>
        </is>
      </c>
      <c r="C628" s="9" t="inlineStr">
        <is>
          <t>Coupe du monde de ski alpin</t>
        </is>
      </c>
      <c r="D628" s="9" t="inlineStr">
        <is>
          <t>2026-2027</t>
        </is>
      </c>
      <c r="E628" s="9" t="inlineStr">
        <is>
          <t>Slalom géant</t>
        </is>
      </c>
      <c r="F628" s="9" t="n"/>
      <c r="G628" s="9" t="inlineStr">
        <is>
          <t>Adelboden – Slalom géant Hommes</t>
        </is>
      </c>
      <c r="H628" s="10" t="n">
        <v>46396</v>
      </c>
      <c r="I628" s="10" t="n">
        <v>46396</v>
      </c>
      <c r="J628" s="11" t="n"/>
      <c r="K628" s="9" t="inlineStr">
        <is>
          <t>Europe/Paris</t>
        </is>
      </c>
      <c r="L628" s="9" t="inlineStr">
        <is>
          <t>Adelboden</t>
        </is>
      </c>
      <c r="M628" s="9" t="inlineStr">
        <is>
          <t>Suisse</t>
        </is>
      </c>
      <c r="N628" s="9" t="inlineStr">
        <is>
          <t>Hommes</t>
        </is>
      </c>
      <c r="O628" s="9" t="inlineStr">
        <is>
          <t>Officiel</t>
        </is>
      </c>
      <c r="P628" s="9" t="inlineStr">
        <is>
          <t>Oui</t>
        </is>
      </c>
      <c r="Q628" s="9" t="inlineStr">
        <is>
          <t>https://en.neveitalia.it/sport/scialpino/calendario</t>
        </is>
      </c>
      <c r="R628" s="10" t="n">
        <v>46311</v>
      </c>
      <c r="S628" s="9" t="n"/>
      <c r="T628" s="9">
        <f>IF(H628="","",IF(MAX(H628,I628)&lt;TODAY(),"Terminé",IF(H628&lt;=TODAY(),"En cours","À venir")))</f>
        <v/>
      </c>
    </row>
    <row r="629">
      <c r="A629" s="9" t="inlineStr">
        <is>
          <t>SKI-2627-041</t>
        </is>
      </c>
      <c r="B629" s="9" t="inlineStr">
        <is>
          <t>Ski alpin</t>
        </is>
      </c>
      <c r="C629" s="9" t="inlineStr">
        <is>
          <t>Coupe du monde de ski alpin</t>
        </is>
      </c>
      <c r="D629" s="9" t="inlineStr">
        <is>
          <t>2026-2027</t>
        </is>
      </c>
      <c r="E629" s="9" t="inlineStr">
        <is>
          <t>Super-G</t>
        </is>
      </c>
      <c r="F629" s="9" t="n"/>
      <c r="G629" s="9" t="inlineStr">
        <is>
          <t>Val di Fassa – Super-G Femmes</t>
        </is>
      </c>
      <c r="H629" s="10" t="n">
        <v>46397</v>
      </c>
      <c r="I629" s="10" t="n">
        <v>46397</v>
      </c>
      <c r="J629" s="11" t="n"/>
      <c r="K629" s="9" t="inlineStr">
        <is>
          <t>Europe/Paris</t>
        </is>
      </c>
      <c r="L629" s="9" t="inlineStr">
        <is>
          <t>Val di Fassa</t>
        </is>
      </c>
      <c r="M629" s="9" t="inlineStr">
        <is>
          <t>Italie</t>
        </is>
      </c>
      <c r="N629" s="9" t="inlineStr">
        <is>
          <t>Femmes</t>
        </is>
      </c>
      <c r="O629" s="9" t="inlineStr">
        <is>
          <t>Officiel</t>
        </is>
      </c>
      <c r="P629" s="9" t="inlineStr">
        <is>
          <t>Oui</t>
        </is>
      </c>
      <c r="Q629" s="9" t="inlineStr">
        <is>
          <t>https://en.neveitalia.it/sport/scialpino/calendario/coppa-del-mondo-femminile&amp;</t>
        </is>
      </c>
      <c r="R629" s="10" t="n">
        <v>46311</v>
      </c>
      <c r="S629" s="9" t="n"/>
      <c r="T629" s="9">
        <f>IF(H629="","",IF(MAX(H629,I629)&lt;TODAY(),"Terminé",IF(H629&lt;=TODAY(),"En cours","À venir")))</f>
        <v/>
      </c>
    </row>
    <row r="630">
      <c r="A630" s="9" t="inlineStr">
        <is>
          <t>SKI-2627-042</t>
        </is>
      </c>
      <c r="B630" s="9" t="inlineStr">
        <is>
          <t>Ski alpin</t>
        </is>
      </c>
      <c r="C630" s="9" t="inlineStr">
        <is>
          <t>Coupe du monde de ski alpin</t>
        </is>
      </c>
      <c r="D630" s="9" t="inlineStr">
        <is>
          <t>2026-2027</t>
        </is>
      </c>
      <c r="E630" s="9" t="inlineStr">
        <is>
          <t>Slalom</t>
        </is>
      </c>
      <c r="F630" s="9" t="n"/>
      <c r="G630" s="9" t="inlineStr">
        <is>
          <t>Adelboden – Slalom Hommes</t>
        </is>
      </c>
      <c r="H630" s="10" t="n">
        <v>46397</v>
      </c>
      <c r="I630" s="10" t="n">
        <v>46397</v>
      </c>
      <c r="J630" s="11" t="n"/>
      <c r="K630" s="9" t="inlineStr">
        <is>
          <t>Europe/Paris</t>
        </is>
      </c>
      <c r="L630" s="9" t="inlineStr">
        <is>
          <t>Adelboden</t>
        </is>
      </c>
      <c r="M630" s="9" t="inlineStr">
        <is>
          <t>Suisse</t>
        </is>
      </c>
      <c r="N630" s="9" t="inlineStr">
        <is>
          <t>Hommes</t>
        </is>
      </c>
      <c r="O630" s="9" t="inlineStr">
        <is>
          <t>Officiel</t>
        </is>
      </c>
      <c r="P630" s="9" t="inlineStr">
        <is>
          <t>Oui</t>
        </is>
      </c>
      <c r="Q630" s="9" t="inlineStr">
        <is>
          <t>https://en.neveitalia.it/sport/scialpino/calendario</t>
        </is>
      </c>
      <c r="R630" s="10" t="n">
        <v>46311</v>
      </c>
      <c r="S630" s="9" t="n"/>
      <c r="T630" s="9">
        <f>IF(H630="","",IF(MAX(H630,I630)&lt;TODAY(),"Terminé",IF(H630&lt;=TODAY(),"En cours","À venir")))</f>
        <v/>
      </c>
    </row>
    <row r="631">
      <c r="A631" s="9" t="inlineStr">
        <is>
          <t>SKI-2627-043</t>
        </is>
      </c>
      <c r="B631" s="9" t="inlineStr">
        <is>
          <t>Ski alpin</t>
        </is>
      </c>
      <c r="C631" s="9" t="inlineStr">
        <is>
          <t>Coupe du monde de ski alpin</t>
        </is>
      </c>
      <c r="D631" s="9" t="inlineStr">
        <is>
          <t>2026-2027</t>
        </is>
      </c>
      <c r="E631" s="9" t="inlineStr">
        <is>
          <t>Descente</t>
        </is>
      </c>
      <c r="F631" s="9" t="n"/>
      <c r="G631" s="9" t="inlineStr">
        <is>
          <t>Cortina d'Ampezzo – Descente Femmes</t>
        </is>
      </c>
      <c r="H631" s="10" t="n">
        <v>46402</v>
      </c>
      <c r="I631" s="10" t="n">
        <v>46402</v>
      </c>
      <c r="J631" s="11" t="n"/>
      <c r="K631" s="9" t="inlineStr">
        <is>
          <t>Europe/Paris</t>
        </is>
      </c>
      <c r="L631" s="9" t="inlineStr">
        <is>
          <t>Cortina d'Ampezzo</t>
        </is>
      </c>
      <c r="M631" s="9" t="inlineStr">
        <is>
          <t>Italie</t>
        </is>
      </c>
      <c r="N631" s="9" t="inlineStr">
        <is>
          <t>Femmes</t>
        </is>
      </c>
      <c r="O631" s="9" t="inlineStr">
        <is>
          <t>Officiel</t>
        </is>
      </c>
      <c r="P631" s="9" t="inlineStr">
        <is>
          <t>Oui</t>
        </is>
      </c>
      <c r="Q631" s="9" t="inlineStr">
        <is>
          <t>https://en.neveitalia.it/sport/scialpino/calendario/coppa-del-mondo-femminile&amp;</t>
        </is>
      </c>
      <c r="R631" s="10" t="n">
        <v>46311</v>
      </c>
      <c r="S631" s="9" t="n"/>
      <c r="T631" s="9">
        <f>IF(H631="","",IF(MAX(H631,I631)&lt;TODAY(),"Terminé",IF(H631&lt;=TODAY(),"En cours","À venir")))</f>
        <v/>
      </c>
    </row>
    <row r="632">
      <c r="A632" s="9" t="inlineStr">
        <is>
          <t>SKI-2627-044</t>
        </is>
      </c>
      <c r="B632" s="9" t="inlineStr">
        <is>
          <t>Ski alpin</t>
        </is>
      </c>
      <c r="C632" s="9" t="inlineStr">
        <is>
          <t>Coupe du monde de ski alpin</t>
        </is>
      </c>
      <c r="D632" s="9" t="inlineStr">
        <is>
          <t>2026-2027</t>
        </is>
      </c>
      <c r="E632" s="9" t="inlineStr">
        <is>
          <t>Super-G</t>
        </is>
      </c>
      <c r="F632" s="9" t="n"/>
      <c r="G632" s="9" t="inlineStr">
        <is>
          <t>Wengen – Super-G Hommes</t>
        </is>
      </c>
      <c r="H632" s="10" t="n">
        <v>46402</v>
      </c>
      <c r="I632" s="10" t="n">
        <v>46402</v>
      </c>
      <c r="J632" s="11" t="n"/>
      <c r="K632" s="9" t="inlineStr">
        <is>
          <t>Europe/Paris</t>
        </is>
      </c>
      <c r="L632" s="9" t="inlineStr">
        <is>
          <t>Wengen</t>
        </is>
      </c>
      <c r="M632" s="9" t="inlineStr">
        <is>
          <t>Suisse</t>
        </is>
      </c>
      <c r="N632" s="9" t="inlineStr">
        <is>
          <t>Hommes</t>
        </is>
      </c>
      <c r="O632" s="9" t="inlineStr">
        <is>
          <t>Officiel</t>
        </is>
      </c>
      <c r="P632" s="9" t="inlineStr">
        <is>
          <t>Oui</t>
        </is>
      </c>
      <c r="Q632" s="9" t="inlineStr">
        <is>
          <t>https://en.neveitalia.it/sport/scialpino/calendario</t>
        </is>
      </c>
      <c r="R632" s="10" t="n">
        <v>46311</v>
      </c>
      <c r="S632" s="9" t="n"/>
      <c r="T632" s="9">
        <f>IF(H632="","",IF(MAX(H632,I632)&lt;TODAY(),"Terminé",IF(H632&lt;=TODAY(),"En cours","À venir")))</f>
        <v/>
      </c>
    </row>
    <row r="633">
      <c r="A633" s="9" t="inlineStr">
        <is>
          <t>SKI-2627-045</t>
        </is>
      </c>
      <c r="B633" s="9" t="inlineStr">
        <is>
          <t>Ski alpin</t>
        </is>
      </c>
      <c r="C633" s="9" t="inlineStr">
        <is>
          <t>Coupe du monde de ski alpin</t>
        </is>
      </c>
      <c r="D633" s="9" t="inlineStr">
        <is>
          <t>2026-2027</t>
        </is>
      </c>
      <c r="E633" s="9" t="inlineStr">
        <is>
          <t>Descente</t>
        </is>
      </c>
      <c r="F633" s="9" t="n"/>
      <c r="G633" s="9" t="inlineStr">
        <is>
          <t>Cortina d'Ampezzo – Descente Femmes</t>
        </is>
      </c>
      <c r="H633" s="10" t="n">
        <v>46403</v>
      </c>
      <c r="I633" s="10" t="n">
        <v>46403</v>
      </c>
      <c r="J633" s="11" t="n"/>
      <c r="K633" s="9" t="inlineStr">
        <is>
          <t>Europe/Paris</t>
        </is>
      </c>
      <c r="L633" s="9" t="inlineStr">
        <is>
          <t>Cortina d'Ampezzo</t>
        </is>
      </c>
      <c r="M633" s="9" t="inlineStr">
        <is>
          <t>Italie</t>
        </is>
      </c>
      <c r="N633" s="9" t="inlineStr">
        <is>
          <t>Femmes</t>
        </is>
      </c>
      <c r="O633" s="9" t="inlineStr">
        <is>
          <t>Officiel</t>
        </is>
      </c>
      <c r="P633" s="9" t="inlineStr">
        <is>
          <t>Oui</t>
        </is>
      </c>
      <c r="Q633" s="9" t="inlineStr">
        <is>
          <t>https://en.neveitalia.it/sport/scialpino/calendario/coppa-del-mondo-femminile&amp;</t>
        </is>
      </c>
      <c r="R633" s="10" t="n">
        <v>46311</v>
      </c>
      <c r="S633" s="9" t="n"/>
      <c r="T633" s="9">
        <f>IF(H633="","",IF(MAX(H633,I633)&lt;TODAY(),"Terminé",IF(H633&lt;=TODAY(),"En cours","À venir")))</f>
        <v/>
      </c>
    </row>
    <row r="634">
      <c r="A634" s="9" t="inlineStr">
        <is>
          <t>SKI-2627-046</t>
        </is>
      </c>
      <c r="B634" s="9" t="inlineStr">
        <is>
          <t>Ski alpin</t>
        </is>
      </c>
      <c r="C634" s="9" t="inlineStr">
        <is>
          <t>Coupe du monde de ski alpin</t>
        </is>
      </c>
      <c r="D634" s="9" t="inlineStr">
        <is>
          <t>2026-2027</t>
        </is>
      </c>
      <c r="E634" s="9" t="inlineStr">
        <is>
          <t>Descente</t>
        </is>
      </c>
      <c r="F634" s="9" t="n"/>
      <c r="G634" s="9" t="inlineStr">
        <is>
          <t>Wengen – Descente Hommes</t>
        </is>
      </c>
      <c r="H634" s="10" t="n">
        <v>46403</v>
      </c>
      <c r="I634" s="10" t="n">
        <v>46403</v>
      </c>
      <c r="J634" s="11" t="n"/>
      <c r="K634" s="9" t="inlineStr">
        <is>
          <t>Europe/Paris</t>
        </is>
      </c>
      <c r="L634" s="9" t="inlineStr">
        <is>
          <t>Wengen</t>
        </is>
      </c>
      <c r="M634" s="9" t="inlineStr">
        <is>
          <t>Suisse</t>
        </is>
      </c>
      <c r="N634" s="9" t="inlineStr">
        <is>
          <t>Hommes</t>
        </is>
      </c>
      <c r="O634" s="9" t="inlineStr">
        <is>
          <t>Officiel</t>
        </is>
      </c>
      <c r="P634" s="9" t="inlineStr">
        <is>
          <t>Oui</t>
        </is>
      </c>
      <c r="Q634" s="9" t="inlineStr">
        <is>
          <t>https://en.neveitalia.it/sport/scialpino/calendario</t>
        </is>
      </c>
      <c r="R634" s="10" t="n">
        <v>46311</v>
      </c>
      <c r="S634" s="9" t="n"/>
      <c r="T634" s="9">
        <f>IF(H634="","",IF(MAX(H634,I634)&lt;TODAY(),"Terminé",IF(H634&lt;=TODAY(),"En cours","À venir")))</f>
        <v/>
      </c>
    </row>
    <row r="635">
      <c r="A635" s="9" t="inlineStr">
        <is>
          <t>SKI-2627-047</t>
        </is>
      </c>
      <c r="B635" s="9" t="inlineStr">
        <is>
          <t>Ski alpin</t>
        </is>
      </c>
      <c r="C635" s="9" t="inlineStr">
        <is>
          <t>Coupe du monde de ski alpin</t>
        </is>
      </c>
      <c r="D635" s="9" t="inlineStr">
        <is>
          <t>2026-2027</t>
        </is>
      </c>
      <c r="E635" s="9" t="inlineStr">
        <is>
          <t>Super-G</t>
        </is>
      </c>
      <c r="F635" s="9" t="n"/>
      <c r="G635" s="9" t="inlineStr">
        <is>
          <t>Cortina d'Ampezzo – Super-G Femmes</t>
        </is>
      </c>
      <c r="H635" s="10" t="n">
        <v>46404</v>
      </c>
      <c r="I635" s="10" t="n">
        <v>46404</v>
      </c>
      <c r="J635" s="11" t="n"/>
      <c r="K635" s="9" t="inlineStr">
        <is>
          <t>Europe/Paris</t>
        </is>
      </c>
      <c r="L635" s="9" t="inlineStr">
        <is>
          <t>Cortina d'Ampezzo</t>
        </is>
      </c>
      <c r="M635" s="9" t="inlineStr">
        <is>
          <t>Italie</t>
        </is>
      </c>
      <c r="N635" s="9" t="inlineStr">
        <is>
          <t>Femmes</t>
        </is>
      </c>
      <c r="O635" s="9" t="inlineStr">
        <is>
          <t>Officiel</t>
        </is>
      </c>
      <c r="P635" s="9" t="inlineStr">
        <is>
          <t>Oui</t>
        </is>
      </c>
      <c r="Q635" s="9" t="inlineStr">
        <is>
          <t>https://en.neveitalia.it/sport/scialpino/calendario/coppa-del-mondo-femminile&amp;</t>
        </is>
      </c>
      <c r="R635" s="10" t="n">
        <v>46311</v>
      </c>
      <c r="S635" s="9" t="n"/>
      <c r="T635" s="9">
        <f>IF(H635="","",IF(MAX(H635,I635)&lt;TODAY(),"Terminé",IF(H635&lt;=TODAY(),"En cours","À venir")))</f>
        <v/>
      </c>
    </row>
    <row r="636">
      <c r="A636" s="9" t="inlineStr">
        <is>
          <t>SKI-2627-048</t>
        </is>
      </c>
      <c r="B636" s="9" t="inlineStr">
        <is>
          <t>Ski alpin</t>
        </is>
      </c>
      <c r="C636" s="9" t="inlineStr">
        <is>
          <t>Coupe du monde de ski alpin</t>
        </is>
      </c>
      <c r="D636" s="9" t="inlineStr">
        <is>
          <t>2026-2027</t>
        </is>
      </c>
      <c r="E636" s="9" t="inlineStr">
        <is>
          <t>Slalom</t>
        </is>
      </c>
      <c r="F636" s="9" t="n"/>
      <c r="G636" s="9" t="inlineStr">
        <is>
          <t>Wengen – Slalom Hommes</t>
        </is>
      </c>
      <c r="H636" s="10" t="n">
        <v>46404</v>
      </c>
      <c r="I636" s="10" t="n">
        <v>46404</v>
      </c>
      <c r="J636" s="11" t="n"/>
      <c r="K636" s="9" t="inlineStr">
        <is>
          <t>Europe/Paris</t>
        </is>
      </c>
      <c r="L636" s="9" t="inlineStr">
        <is>
          <t>Wengen</t>
        </is>
      </c>
      <c r="M636" s="9" t="inlineStr">
        <is>
          <t>Suisse</t>
        </is>
      </c>
      <c r="N636" s="9" t="inlineStr">
        <is>
          <t>Hommes</t>
        </is>
      </c>
      <c r="O636" s="9" t="inlineStr">
        <is>
          <t>Officiel</t>
        </is>
      </c>
      <c r="P636" s="9" t="inlineStr">
        <is>
          <t>Oui</t>
        </is>
      </c>
      <c r="Q636" s="9" t="inlineStr">
        <is>
          <t>https://en.neveitalia.it/sport/scialpino/calendario</t>
        </is>
      </c>
      <c r="R636" s="10" t="n">
        <v>46311</v>
      </c>
      <c r="S636" s="9" t="n"/>
      <c r="T636" s="9">
        <f>IF(H636="","",IF(MAX(H636,I636)&lt;TODAY(),"Terminé",IF(H636&lt;=TODAY(),"En cours","À venir")))</f>
        <v/>
      </c>
    </row>
    <row r="637">
      <c r="A637" s="9" t="inlineStr">
        <is>
          <t>SKI-2627-049</t>
        </is>
      </c>
      <c r="B637" s="9" t="inlineStr">
        <is>
          <t>Ski alpin</t>
        </is>
      </c>
      <c r="C637" s="9" t="inlineStr">
        <is>
          <t>Coupe du monde de ski alpin</t>
        </is>
      </c>
      <c r="D637" s="9" t="inlineStr">
        <is>
          <t>2026-2027</t>
        </is>
      </c>
      <c r="E637" s="9" t="inlineStr">
        <is>
          <t>Slalom géant</t>
        </is>
      </c>
      <c r="F637" s="9" t="n"/>
      <c r="G637" s="9" t="inlineStr">
        <is>
          <t>Kronplatz – Slalom géant Femmes</t>
        </is>
      </c>
      <c r="H637" s="10" t="n">
        <v>46406</v>
      </c>
      <c r="I637" s="10" t="n">
        <v>46406</v>
      </c>
      <c r="J637" s="11" t="n"/>
      <c r="K637" s="9" t="inlineStr">
        <is>
          <t>Europe/Paris</t>
        </is>
      </c>
      <c r="L637" s="9" t="inlineStr">
        <is>
          <t>Kronplatz</t>
        </is>
      </c>
      <c r="M637" s="9" t="inlineStr">
        <is>
          <t>Italie</t>
        </is>
      </c>
      <c r="N637" s="9" t="inlineStr">
        <is>
          <t>Femmes</t>
        </is>
      </c>
      <c r="O637" s="9" t="inlineStr">
        <is>
          <t>Officiel</t>
        </is>
      </c>
      <c r="P637" s="9" t="inlineStr">
        <is>
          <t>Oui</t>
        </is>
      </c>
      <c r="Q637" s="9" t="inlineStr">
        <is>
          <t>https://en.neveitalia.it/sport/scialpino/calendario/coppa-del-mondo-femminile&amp;</t>
        </is>
      </c>
      <c r="R637" s="10" t="n">
        <v>46311</v>
      </c>
      <c r="S637" s="9" t="n"/>
      <c r="T637" s="9">
        <f>IF(H637="","",IF(MAX(H637,I637)&lt;TODAY(),"Terminé",IF(H637&lt;=TODAY(),"En cours","À venir")))</f>
        <v/>
      </c>
    </row>
    <row r="638">
      <c r="A638" s="9" t="inlineStr">
        <is>
          <t>SKI-2627-050</t>
        </is>
      </c>
      <c r="B638" s="9" t="inlineStr">
        <is>
          <t>Ski alpin</t>
        </is>
      </c>
      <c r="C638" s="9" t="inlineStr">
        <is>
          <t>Coupe du monde de ski alpin</t>
        </is>
      </c>
      <c r="D638" s="9" t="inlineStr">
        <is>
          <t>2026-2027</t>
        </is>
      </c>
      <c r="E638" s="9" t="inlineStr">
        <is>
          <t>Super-G</t>
        </is>
      </c>
      <c r="F638" s="9" t="n"/>
      <c r="G638" s="9" t="inlineStr">
        <is>
          <t>Kitzbühel – Super-G Hommes</t>
        </is>
      </c>
      <c r="H638" s="10" t="n">
        <v>46409</v>
      </c>
      <c r="I638" s="10" t="n">
        <v>46409</v>
      </c>
      <c r="J638" s="11" t="n"/>
      <c r="K638" s="9" t="inlineStr">
        <is>
          <t>Europe/Paris</t>
        </is>
      </c>
      <c r="L638" s="9" t="inlineStr">
        <is>
          <t>Kitzbühel</t>
        </is>
      </c>
      <c r="M638" s="9" t="inlineStr">
        <is>
          <t>Autriche</t>
        </is>
      </c>
      <c r="N638" s="9" t="inlineStr">
        <is>
          <t>Hommes</t>
        </is>
      </c>
      <c r="O638" s="9" t="inlineStr">
        <is>
          <t>Officiel</t>
        </is>
      </c>
      <c r="P638" s="9" t="inlineStr">
        <is>
          <t>Oui</t>
        </is>
      </c>
      <c r="Q638" s="9" t="inlineStr">
        <is>
          <t>https://en.neveitalia.it/sport/scialpino/calendario</t>
        </is>
      </c>
      <c r="R638" s="10" t="n">
        <v>46311</v>
      </c>
      <c r="S638" s="9" t="n"/>
      <c r="T638" s="9">
        <f>IF(H638="","",IF(MAX(H638,I638)&lt;TODAY(),"Terminé",IF(H638&lt;=TODAY(),"En cours","À venir")))</f>
        <v/>
      </c>
    </row>
    <row r="639">
      <c r="A639" s="9" t="inlineStr">
        <is>
          <t>SKI-2627-051</t>
        </is>
      </c>
      <c r="B639" s="9" t="inlineStr">
        <is>
          <t>Ski alpin</t>
        </is>
      </c>
      <c r="C639" s="9" t="inlineStr">
        <is>
          <t>Coupe du monde de ski alpin</t>
        </is>
      </c>
      <c r="D639" s="9" t="inlineStr">
        <is>
          <t>2026-2027</t>
        </is>
      </c>
      <c r="E639" s="9" t="inlineStr">
        <is>
          <t>Slalom géant</t>
        </is>
      </c>
      <c r="F639" s="9" t="n"/>
      <c r="G639" s="9" t="inlineStr">
        <is>
          <t>Jasná – Slalom géant Femmes</t>
        </is>
      </c>
      <c r="H639" s="10" t="n">
        <v>46410</v>
      </c>
      <c r="I639" s="10" t="n">
        <v>46410</v>
      </c>
      <c r="J639" s="11" t="n"/>
      <c r="K639" s="9" t="inlineStr">
        <is>
          <t>Europe/Paris</t>
        </is>
      </c>
      <c r="L639" s="9" t="inlineStr">
        <is>
          <t>Jasná</t>
        </is>
      </c>
      <c r="M639" s="9" t="inlineStr">
        <is>
          <t>Slovaquie</t>
        </is>
      </c>
      <c r="N639" s="9" t="inlineStr">
        <is>
          <t>Femmes</t>
        </is>
      </c>
      <c r="O639" s="9" t="inlineStr">
        <is>
          <t>Officiel</t>
        </is>
      </c>
      <c r="P639" s="9" t="inlineStr">
        <is>
          <t>Oui</t>
        </is>
      </c>
      <c r="Q639" s="9" t="inlineStr">
        <is>
          <t>https://en.neveitalia.it/sport/scialpino/calendario/coppa-del-mondo-femminile&amp;</t>
        </is>
      </c>
      <c r="R639" s="10" t="n">
        <v>46311</v>
      </c>
      <c r="S639" s="9" t="n"/>
      <c r="T639" s="9">
        <f>IF(H639="","",IF(MAX(H639,I639)&lt;TODAY(),"Terminé",IF(H639&lt;=TODAY(),"En cours","À venir")))</f>
        <v/>
      </c>
    </row>
    <row r="640">
      <c r="A640" s="9" t="inlineStr">
        <is>
          <t>SKI-2627-052</t>
        </is>
      </c>
      <c r="B640" s="9" t="inlineStr">
        <is>
          <t>Ski alpin</t>
        </is>
      </c>
      <c r="C640" s="9" t="inlineStr">
        <is>
          <t>Coupe du monde de ski alpin</t>
        </is>
      </c>
      <c r="D640" s="9" t="inlineStr">
        <is>
          <t>2026-2027</t>
        </is>
      </c>
      <c r="E640" s="9" t="inlineStr">
        <is>
          <t>Descente</t>
        </is>
      </c>
      <c r="F640" s="9" t="n"/>
      <c r="G640" s="9" t="inlineStr">
        <is>
          <t>Kitzbühel – Descente Hommes</t>
        </is>
      </c>
      <c r="H640" s="10" t="n">
        <v>46410</v>
      </c>
      <c r="I640" s="10" t="n">
        <v>46410</v>
      </c>
      <c r="J640" s="11" t="n"/>
      <c r="K640" s="9" t="inlineStr">
        <is>
          <t>Europe/Paris</t>
        </is>
      </c>
      <c r="L640" s="9" t="inlineStr">
        <is>
          <t>Kitzbühel</t>
        </is>
      </c>
      <c r="M640" s="9" t="inlineStr">
        <is>
          <t>Autriche</t>
        </is>
      </c>
      <c r="N640" s="9" t="inlineStr">
        <is>
          <t>Hommes</t>
        </is>
      </c>
      <c r="O640" s="9" t="inlineStr">
        <is>
          <t>Officiel</t>
        </is>
      </c>
      <c r="P640" s="9" t="inlineStr">
        <is>
          <t>Oui</t>
        </is>
      </c>
      <c r="Q640" s="9" t="inlineStr">
        <is>
          <t>https://en.neveitalia.it/sport/scialpino/calendario</t>
        </is>
      </c>
      <c r="R640" s="10" t="n">
        <v>46311</v>
      </c>
      <c r="S640" s="9" t="n"/>
      <c r="T640" s="9">
        <f>IF(H640="","",IF(MAX(H640,I640)&lt;TODAY(),"Terminé",IF(H640&lt;=TODAY(),"En cours","À venir")))</f>
        <v/>
      </c>
    </row>
    <row r="641">
      <c r="A641" s="9" t="inlineStr">
        <is>
          <t>SKI-2627-053</t>
        </is>
      </c>
      <c r="B641" s="9" t="inlineStr">
        <is>
          <t>Ski alpin</t>
        </is>
      </c>
      <c r="C641" s="9" t="inlineStr">
        <is>
          <t>Coupe du monde de ski alpin</t>
        </is>
      </c>
      <c r="D641" s="9" t="inlineStr">
        <is>
          <t>2026-2027</t>
        </is>
      </c>
      <c r="E641" s="9" t="inlineStr">
        <is>
          <t>Slalom</t>
        </is>
      </c>
      <c r="F641" s="9" t="n"/>
      <c r="G641" s="9" t="inlineStr">
        <is>
          <t>Jasná – Slalom Femmes</t>
        </is>
      </c>
      <c r="H641" s="10" t="n">
        <v>46411</v>
      </c>
      <c r="I641" s="10" t="n">
        <v>46411</v>
      </c>
      <c r="J641" s="11" t="n"/>
      <c r="K641" s="9" t="inlineStr">
        <is>
          <t>Europe/Paris</t>
        </is>
      </c>
      <c r="L641" s="9" t="inlineStr">
        <is>
          <t>Jasná</t>
        </is>
      </c>
      <c r="M641" s="9" t="inlineStr">
        <is>
          <t>Slovaquie</t>
        </is>
      </c>
      <c r="N641" s="9" t="inlineStr">
        <is>
          <t>Femmes</t>
        </is>
      </c>
      <c r="O641" s="9" t="inlineStr">
        <is>
          <t>Officiel</t>
        </is>
      </c>
      <c r="P641" s="9" t="inlineStr">
        <is>
          <t>Oui</t>
        </is>
      </c>
      <c r="Q641" s="9" t="inlineStr">
        <is>
          <t>https://en.neveitalia.it/sport/scialpino/calendario/coppa-del-mondo-femminile&amp;</t>
        </is>
      </c>
      <c r="R641" s="10" t="n">
        <v>46311</v>
      </c>
      <c r="S641" s="9" t="n"/>
      <c r="T641" s="9">
        <f>IF(H641="","",IF(MAX(H641,I641)&lt;TODAY(),"Terminé",IF(H641&lt;=TODAY(),"En cours","À venir")))</f>
        <v/>
      </c>
    </row>
    <row r="642">
      <c r="A642" s="9" t="inlineStr">
        <is>
          <t>SKI-2627-054</t>
        </is>
      </c>
      <c r="B642" s="9" t="inlineStr">
        <is>
          <t>Ski alpin</t>
        </is>
      </c>
      <c r="C642" s="9" t="inlineStr">
        <is>
          <t>Coupe du monde de ski alpin</t>
        </is>
      </c>
      <c r="D642" s="9" t="inlineStr">
        <is>
          <t>2026-2027</t>
        </is>
      </c>
      <c r="E642" s="9" t="inlineStr">
        <is>
          <t>Slalom</t>
        </is>
      </c>
      <c r="F642" s="9" t="n"/>
      <c r="G642" s="9" t="inlineStr">
        <is>
          <t>Kitzbühel – Slalom Hommes</t>
        </is>
      </c>
      <c r="H642" s="10" t="n">
        <v>46411</v>
      </c>
      <c r="I642" s="10" t="n">
        <v>46411</v>
      </c>
      <c r="J642" s="11" t="n"/>
      <c r="K642" s="9" t="inlineStr">
        <is>
          <t>Europe/Paris</t>
        </is>
      </c>
      <c r="L642" s="9" t="inlineStr">
        <is>
          <t>Kitzbühel</t>
        </is>
      </c>
      <c r="M642" s="9" t="inlineStr">
        <is>
          <t>Autriche</t>
        </is>
      </c>
      <c r="N642" s="9" t="inlineStr">
        <is>
          <t>Hommes</t>
        </is>
      </c>
      <c r="O642" s="9" t="inlineStr">
        <is>
          <t>Officiel</t>
        </is>
      </c>
      <c r="P642" s="9" t="inlineStr">
        <is>
          <t>Oui</t>
        </is>
      </c>
      <c r="Q642" s="9" t="inlineStr">
        <is>
          <t>https://en.neveitalia.it/sport/scialpino/calendario</t>
        </is>
      </c>
      <c r="R642" s="10" t="n">
        <v>46311</v>
      </c>
      <c r="S642" s="9" t="n"/>
      <c r="T642" s="9">
        <f>IF(H642="","",IF(MAX(H642,I642)&lt;TODAY(),"Terminé",IF(H642&lt;=TODAY(),"En cours","À venir")))</f>
        <v/>
      </c>
    </row>
    <row r="643">
      <c r="A643" s="9" t="inlineStr">
        <is>
          <t>SKI-2627-055</t>
        </is>
      </c>
      <c r="B643" s="9" t="inlineStr">
        <is>
          <t>Ski alpin</t>
        </is>
      </c>
      <c r="C643" s="9" t="inlineStr">
        <is>
          <t>Coupe du monde de ski alpin</t>
        </is>
      </c>
      <c r="D643" s="9" t="inlineStr">
        <is>
          <t>2026-2027</t>
        </is>
      </c>
      <c r="E643" s="9" t="inlineStr">
        <is>
          <t>Slalom géant</t>
        </is>
      </c>
      <c r="F643" s="9" t="n"/>
      <c r="G643" s="9" t="inlineStr">
        <is>
          <t>Schladming – Slalom géant Hommes</t>
        </is>
      </c>
      <c r="H643" s="10" t="n">
        <v>46413</v>
      </c>
      <c r="I643" s="10" t="n">
        <v>46413</v>
      </c>
      <c r="J643" s="11" t="n"/>
      <c r="K643" s="9" t="inlineStr">
        <is>
          <t>Europe/Paris</t>
        </is>
      </c>
      <c r="L643" s="9" t="inlineStr">
        <is>
          <t>Schladming</t>
        </is>
      </c>
      <c r="M643" s="9" t="inlineStr">
        <is>
          <t>Autriche</t>
        </is>
      </c>
      <c r="N643" s="9" t="inlineStr">
        <is>
          <t>Hommes</t>
        </is>
      </c>
      <c r="O643" s="9" t="inlineStr">
        <is>
          <t>Officiel</t>
        </is>
      </c>
      <c r="P643" s="9" t="inlineStr">
        <is>
          <t>Oui</t>
        </is>
      </c>
      <c r="Q643" s="9" t="inlineStr">
        <is>
          <t>https://en.neveitalia.it/sport/scialpino/calendario</t>
        </is>
      </c>
      <c r="R643" s="10" t="n">
        <v>46311</v>
      </c>
      <c r="S643" s="9" t="n"/>
      <c r="T643" s="9">
        <f>IF(H643="","",IF(MAX(H643,I643)&lt;TODAY(),"Terminé",IF(H643&lt;=TODAY(),"En cours","À venir")))</f>
        <v/>
      </c>
    </row>
    <row r="644">
      <c r="A644" s="9" t="inlineStr">
        <is>
          <t>SKI-2627-056</t>
        </is>
      </c>
      <c r="B644" s="9" t="inlineStr">
        <is>
          <t>Ski alpin</t>
        </is>
      </c>
      <c r="C644" s="9" t="inlineStr">
        <is>
          <t>Coupe du monde de ski alpin</t>
        </is>
      </c>
      <c r="D644" s="9" t="inlineStr">
        <is>
          <t>2026-2027</t>
        </is>
      </c>
      <c r="E644" s="9" t="inlineStr">
        <is>
          <t>Slalom</t>
        </is>
      </c>
      <c r="F644" s="9" t="n"/>
      <c r="G644" s="9" t="inlineStr">
        <is>
          <t>Schladming – Slalom Hommes</t>
        </is>
      </c>
      <c r="H644" s="10" t="n">
        <v>46414</v>
      </c>
      <c r="I644" s="10" t="n">
        <v>46414</v>
      </c>
      <c r="J644" s="11" t="n"/>
      <c r="K644" s="9" t="inlineStr">
        <is>
          <t>Europe/Paris</t>
        </is>
      </c>
      <c r="L644" s="9" t="inlineStr">
        <is>
          <t>Schladming</t>
        </is>
      </c>
      <c r="M644" s="9" t="inlineStr">
        <is>
          <t>Autriche</t>
        </is>
      </c>
      <c r="N644" s="9" t="inlineStr">
        <is>
          <t>Hommes</t>
        </is>
      </c>
      <c r="O644" s="9" t="inlineStr">
        <is>
          <t>Officiel</t>
        </is>
      </c>
      <c r="P644" s="9" t="inlineStr">
        <is>
          <t>Oui</t>
        </is>
      </c>
      <c r="Q644" s="9" t="inlineStr">
        <is>
          <t>https://en.neveitalia.it/sport/scialpino/calendario</t>
        </is>
      </c>
      <c r="R644" s="10" t="n">
        <v>46311</v>
      </c>
      <c r="S644" s="9" t="n"/>
      <c r="T644" s="9">
        <f>IF(H644="","",IF(MAX(H644,I644)&lt;TODAY(),"Terminé",IF(H644&lt;=TODAY(),"En cours","À venir")))</f>
        <v/>
      </c>
    </row>
    <row r="645">
      <c r="A645" s="9" t="inlineStr">
        <is>
          <t>SKI-2627-057</t>
        </is>
      </c>
      <c r="B645" s="9" t="inlineStr">
        <is>
          <t>Ski alpin</t>
        </is>
      </c>
      <c r="C645" s="9" t="inlineStr">
        <is>
          <t>Coupe du monde de ski alpin</t>
        </is>
      </c>
      <c r="D645" s="9" t="inlineStr">
        <is>
          <t>2026-2027</t>
        </is>
      </c>
      <c r="E645" s="9" t="inlineStr">
        <is>
          <t>Slalom géant</t>
        </is>
      </c>
      <c r="F645" s="9" t="n"/>
      <c r="G645" s="9" t="inlineStr">
        <is>
          <t>Kranjska Gora – Slalom géant Femmes</t>
        </is>
      </c>
      <c r="H645" s="10" t="n">
        <v>46416</v>
      </c>
      <c r="I645" s="10" t="n">
        <v>46416</v>
      </c>
      <c r="J645" s="11" t="n"/>
      <c r="K645" s="9" t="inlineStr">
        <is>
          <t>Europe/Paris</t>
        </is>
      </c>
      <c r="L645" s="9" t="inlineStr">
        <is>
          <t>Kranjska Gora</t>
        </is>
      </c>
      <c r="M645" s="9" t="inlineStr">
        <is>
          <t>Slovénie</t>
        </is>
      </c>
      <c r="N645" s="9" t="inlineStr">
        <is>
          <t>Femmes</t>
        </is>
      </c>
      <c r="O645" s="9" t="inlineStr">
        <is>
          <t>Officiel</t>
        </is>
      </c>
      <c r="P645" s="9" t="inlineStr">
        <is>
          <t>Oui</t>
        </is>
      </c>
      <c r="Q645" s="9" t="inlineStr">
        <is>
          <t>https://en.neveitalia.it/sport/scialpino/calendario/coppa-del-mondo-femminile&amp;</t>
        </is>
      </c>
      <c r="R645" s="10" t="n">
        <v>46311</v>
      </c>
      <c r="S645" s="9" t="n"/>
      <c r="T645" s="9">
        <f>IF(H645="","",IF(MAX(H645,I645)&lt;TODAY(),"Terminé",IF(H645&lt;=TODAY(),"En cours","À venir")))</f>
        <v/>
      </c>
    </row>
    <row r="646">
      <c r="A646" s="9" t="inlineStr">
        <is>
          <t>SKI-2627-058</t>
        </is>
      </c>
      <c r="B646" s="9" t="inlineStr">
        <is>
          <t>Ski alpin</t>
        </is>
      </c>
      <c r="C646" s="9" t="inlineStr">
        <is>
          <t>Coupe du monde de ski alpin</t>
        </is>
      </c>
      <c r="D646" s="9" t="inlineStr">
        <is>
          <t>2026-2027</t>
        </is>
      </c>
      <c r="E646" s="9" t="inlineStr">
        <is>
          <t>Slalom</t>
        </is>
      </c>
      <c r="F646" s="9" t="n"/>
      <c r="G646" s="9" t="inlineStr">
        <is>
          <t>Kranjska Gora – Slalom Femmes</t>
        </is>
      </c>
      <c r="H646" s="10" t="n">
        <v>46417</v>
      </c>
      <c r="I646" s="10" t="n">
        <v>46417</v>
      </c>
      <c r="J646" s="11" t="n"/>
      <c r="K646" s="9" t="inlineStr">
        <is>
          <t>Europe/Paris</t>
        </is>
      </c>
      <c r="L646" s="9" t="inlineStr">
        <is>
          <t>Kranjska Gora</t>
        </is>
      </c>
      <c r="M646" s="9" t="inlineStr">
        <is>
          <t>Slovénie</t>
        </is>
      </c>
      <c r="N646" s="9" t="inlineStr">
        <is>
          <t>Femmes</t>
        </is>
      </c>
      <c r="O646" s="9" t="inlineStr">
        <is>
          <t>Officiel</t>
        </is>
      </c>
      <c r="P646" s="9" t="inlineStr">
        <is>
          <t>Oui</t>
        </is>
      </c>
      <c r="Q646" s="9" t="inlineStr">
        <is>
          <t>https://en.neveitalia.it/sport/scialpino/calendario/coppa-del-mondo-femminile&amp;</t>
        </is>
      </c>
      <c r="R646" s="10" t="n">
        <v>46311</v>
      </c>
      <c r="S646" s="9" t="n"/>
      <c r="T646" s="9">
        <f>IF(H646="","",IF(MAX(H646,I646)&lt;TODAY(),"Terminé",IF(H646&lt;=TODAY(),"En cours","À venir")))</f>
        <v/>
      </c>
    </row>
    <row r="647">
      <c r="A647" s="9" t="inlineStr">
        <is>
          <t>SKI-2627-059</t>
        </is>
      </c>
      <c r="B647" s="9" t="inlineStr">
        <is>
          <t>Ski alpin</t>
        </is>
      </c>
      <c r="C647" s="9" t="inlineStr">
        <is>
          <t>Coupe du monde de ski alpin</t>
        </is>
      </c>
      <c r="D647" s="9" t="inlineStr">
        <is>
          <t>2026-2027</t>
        </is>
      </c>
      <c r="E647" s="9" t="inlineStr">
        <is>
          <t>Slalom</t>
        </is>
      </c>
      <c r="F647" s="9" t="n"/>
      <c r="G647" s="9" t="inlineStr">
        <is>
          <t>Chamonix – Slalom Hommes</t>
        </is>
      </c>
      <c r="H647" s="10" t="n">
        <v>46417</v>
      </c>
      <c r="I647" s="10" t="n">
        <v>46417</v>
      </c>
      <c r="J647" s="11" t="n"/>
      <c r="K647" s="9" t="inlineStr">
        <is>
          <t>Europe/Paris</t>
        </is>
      </c>
      <c r="L647" s="9" t="inlineStr">
        <is>
          <t>Chamonix</t>
        </is>
      </c>
      <c r="M647" s="9" t="inlineStr">
        <is>
          <t>France</t>
        </is>
      </c>
      <c r="N647" s="9" t="inlineStr">
        <is>
          <t>Hommes</t>
        </is>
      </c>
      <c r="O647" s="9" t="inlineStr">
        <is>
          <t>Officiel</t>
        </is>
      </c>
      <c r="P647" s="9" t="inlineStr">
        <is>
          <t>Oui</t>
        </is>
      </c>
      <c r="Q647" s="9" t="inlineStr">
        <is>
          <t>https://en.neveitalia.it/sport/scialpino/calendario</t>
        </is>
      </c>
      <c r="R647" s="10" t="n">
        <v>46311</v>
      </c>
      <c r="S647" s="9" t="n"/>
      <c r="T647" s="9">
        <f>IF(H647="","",IF(MAX(H647,I647)&lt;TODAY(),"Terminé",IF(H647&lt;=TODAY(),"En cours","À venir")))</f>
        <v/>
      </c>
    </row>
    <row r="648">
      <c r="A648" s="9" t="inlineStr">
        <is>
          <t>SKI-2627-060</t>
        </is>
      </c>
      <c r="B648" s="9" t="inlineStr">
        <is>
          <t>Ski alpin</t>
        </is>
      </c>
      <c r="C648" s="9" t="inlineStr">
        <is>
          <t>Coupe du monde de ski alpin</t>
        </is>
      </c>
      <c r="D648" s="9" t="inlineStr">
        <is>
          <t>2026-2027</t>
        </is>
      </c>
      <c r="E648" s="9" t="inlineStr">
        <is>
          <t>Super-G</t>
        </is>
      </c>
      <c r="F648" s="9" t="n"/>
      <c r="G648" s="9" t="inlineStr">
        <is>
          <t>Lenzerheide – Super-G Femmes</t>
        </is>
      </c>
      <c r="H648" s="10" t="n">
        <v>46438</v>
      </c>
      <c r="I648" s="10" t="n">
        <v>46438</v>
      </c>
      <c r="J648" s="11" t="n"/>
      <c r="K648" s="9" t="inlineStr">
        <is>
          <t>Europe/Paris</t>
        </is>
      </c>
      <c r="L648" s="9" t="inlineStr">
        <is>
          <t>Lenzerheide</t>
        </is>
      </c>
      <c r="M648" s="9" t="inlineStr">
        <is>
          <t>Suisse</t>
        </is>
      </c>
      <c r="N648" s="9" t="inlineStr">
        <is>
          <t>Femmes</t>
        </is>
      </c>
      <c r="O648" s="9" t="inlineStr">
        <is>
          <t>Officiel</t>
        </is>
      </c>
      <c r="P648" s="9" t="inlineStr">
        <is>
          <t>Oui</t>
        </is>
      </c>
      <c r="Q648" s="9" t="inlineStr">
        <is>
          <t>https://en.neveitalia.it/sport/scialpino/calendario/coppa-del-mondo-femminile&amp;</t>
        </is>
      </c>
      <c r="R648" s="10" t="n">
        <v>46311</v>
      </c>
      <c r="S648" s="9" t="n"/>
      <c r="T648" s="9">
        <f>IF(H648="","",IF(MAX(H648,I648)&lt;TODAY(),"Terminé",IF(H648&lt;=TODAY(),"En cours","À venir")))</f>
        <v/>
      </c>
    </row>
    <row r="649">
      <c r="A649" s="9" t="inlineStr">
        <is>
          <t>SKI-2627-061</t>
        </is>
      </c>
      <c r="B649" s="9" t="inlineStr">
        <is>
          <t>Ski alpin</t>
        </is>
      </c>
      <c r="C649" s="9" t="inlineStr">
        <is>
          <t>Coupe du monde de ski alpin</t>
        </is>
      </c>
      <c r="D649" s="9" t="inlineStr">
        <is>
          <t>2026-2027</t>
        </is>
      </c>
      <c r="E649" s="9" t="inlineStr">
        <is>
          <t>Descente</t>
        </is>
      </c>
      <c r="F649" s="9" t="n"/>
      <c r="G649" s="9" t="inlineStr">
        <is>
          <t>Garmisch-Partenkirchen – Descente Hommes</t>
        </is>
      </c>
      <c r="H649" s="10" t="n">
        <v>46438</v>
      </c>
      <c r="I649" s="10" t="n">
        <v>46438</v>
      </c>
      <c r="J649" s="11" t="n"/>
      <c r="K649" s="9" t="inlineStr">
        <is>
          <t>Europe/Paris</t>
        </is>
      </c>
      <c r="L649" s="9" t="inlineStr">
        <is>
          <t>Garmisch-Partenkirchen</t>
        </is>
      </c>
      <c r="M649" s="9" t="inlineStr">
        <is>
          <t>Allemagne</t>
        </is>
      </c>
      <c r="N649" s="9" t="inlineStr">
        <is>
          <t>Hommes</t>
        </is>
      </c>
      <c r="O649" s="9" t="inlineStr">
        <is>
          <t>Officiel</t>
        </is>
      </c>
      <c r="P649" s="9" t="inlineStr">
        <is>
          <t>Oui</t>
        </is>
      </c>
      <c r="Q649" s="9" t="inlineStr">
        <is>
          <t>https://en.neveitalia.it/sport/scialpino/calendario</t>
        </is>
      </c>
      <c r="R649" s="10" t="n">
        <v>46311</v>
      </c>
      <c r="S649" s="9" t="n"/>
      <c r="T649" s="9">
        <f>IF(H649="","",IF(MAX(H649,I649)&lt;TODAY(),"Terminé",IF(H649&lt;=TODAY(),"En cours","À venir")))</f>
        <v/>
      </c>
    </row>
    <row r="650">
      <c r="A650" s="9" t="inlineStr">
        <is>
          <t>SKI-2627-062</t>
        </is>
      </c>
      <c r="B650" s="9" t="inlineStr">
        <is>
          <t>Ski alpin</t>
        </is>
      </c>
      <c r="C650" s="9" t="inlineStr">
        <is>
          <t>Coupe du monde de ski alpin</t>
        </is>
      </c>
      <c r="D650" s="9" t="inlineStr">
        <is>
          <t>2026-2027</t>
        </is>
      </c>
      <c r="E650" s="9" t="inlineStr">
        <is>
          <t>Super-G</t>
        </is>
      </c>
      <c r="F650" s="9" t="n"/>
      <c r="G650" s="9" t="inlineStr">
        <is>
          <t>Lenzerheide – Super-G Femmes</t>
        </is>
      </c>
      <c r="H650" s="10" t="n">
        <v>46439</v>
      </c>
      <c r="I650" s="10" t="n">
        <v>46439</v>
      </c>
      <c r="J650" s="11" t="n"/>
      <c r="K650" s="9" t="inlineStr">
        <is>
          <t>Europe/Paris</t>
        </is>
      </c>
      <c r="L650" s="9" t="inlineStr">
        <is>
          <t>Lenzerheide</t>
        </is>
      </c>
      <c r="M650" s="9" t="inlineStr">
        <is>
          <t>Suisse</t>
        </is>
      </c>
      <c r="N650" s="9" t="inlineStr">
        <is>
          <t>Femmes</t>
        </is>
      </c>
      <c r="O650" s="9" t="inlineStr">
        <is>
          <t>Officiel</t>
        </is>
      </c>
      <c r="P650" s="9" t="inlineStr">
        <is>
          <t>Oui</t>
        </is>
      </c>
      <c r="Q650" s="9" t="inlineStr">
        <is>
          <t>https://en.neveitalia.it/sport/scialpino/calendario/coppa-del-mondo-femminile&amp;</t>
        </is>
      </c>
      <c r="R650" s="10" t="n">
        <v>46311</v>
      </c>
      <c r="S650" s="9" t="n"/>
      <c r="T650" s="9">
        <f>IF(H650="","",IF(MAX(H650,I650)&lt;TODAY(),"Terminé",IF(H650&lt;=TODAY(),"En cours","À venir")))</f>
        <v/>
      </c>
    </row>
    <row r="651">
      <c r="A651" s="9" t="inlineStr">
        <is>
          <t>SKI-2627-063</t>
        </is>
      </c>
      <c r="B651" s="9" t="inlineStr">
        <is>
          <t>Ski alpin</t>
        </is>
      </c>
      <c r="C651" s="9" t="inlineStr">
        <is>
          <t>Coupe du monde de ski alpin</t>
        </is>
      </c>
      <c r="D651" s="9" t="inlineStr">
        <is>
          <t>2026-2027</t>
        </is>
      </c>
      <c r="E651" s="9" t="inlineStr">
        <is>
          <t>Super-G</t>
        </is>
      </c>
      <c r="F651" s="9" t="n"/>
      <c r="G651" s="9" t="inlineStr">
        <is>
          <t>Garmisch-Partenkirchen – Super-G Hommes</t>
        </is>
      </c>
      <c r="H651" s="10" t="n">
        <v>46439</v>
      </c>
      <c r="I651" s="10" t="n">
        <v>46439</v>
      </c>
      <c r="J651" s="11" t="n"/>
      <c r="K651" s="9" t="inlineStr">
        <is>
          <t>Europe/Paris</t>
        </is>
      </c>
      <c r="L651" s="9" t="inlineStr">
        <is>
          <t>Garmisch-Partenkirchen</t>
        </is>
      </c>
      <c r="M651" s="9" t="inlineStr">
        <is>
          <t>Allemagne</t>
        </is>
      </c>
      <c r="N651" s="9" t="inlineStr">
        <is>
          <t>Hommes</t>
        </is>
      </c>
      <c r="O651" s="9" t="inlineStr">
        <is>
          <t>Officiel</t>
        </is>
      </c>
      <c r="P651" s="9" t="inlineStr">
        <is>
          <t>Oui</t>
        </is>
      </c>
      <c r="Q651" s="9" t="inlineStr">
        <is>
          <t>https://en.neveitalia.it/sport/scialpino/calendario</t>
        </is>
      </c>
      <c r="R651" s="10" t="n">
        <v>46311</v>
      </c>
      <c r="S651" s="9" t="n"/>
      <c r="T651" s="9">
        <f>IF(H651="","",IF(MAX(H651,I651)&lt;TODAY(),"Terminé",IF(H651&lt;=TODAY(),"En cours","À venir")))</f>
        <v/>
      </c>
    </row>
    <row r="652">
      <c r="A652" s="9" t="inlineStr">
        <is>
          <t>SKI-2627-064</t>
        </is>
      </c>
      <c r="B652" s="9" t="inlineStr">
        <is>
          <t>Ski alpin</t>
        </is>
      </c>
      <c r="C652" s="9" t="inlineStr">
        <is>
          <t>Coupe du monde de ski alpin</t>
        </is>
      </c>
      <c r="D652" s="9" t="inlineStr">
        <is>
          <t>2026-2027</t>
        </is>
      </c>
      <c r="E652" s="9" t="inlineStr">
        <is>
          <t>Descente</t>
        </is>
      </c>
      <c r="F652" s="9" t="n"/>
      <c r="G652" s="9" t="inlineStr">
        <is>
          <t>Garmisch-Partenkirchen – Descente Femmes</t>
        </is>
      </c>
      <c r="H652" s="10" t="n">
        <v>46445</v>
      </c>
      <c r="I652" s="10" t="n">
        <v>46445</v>
      </c>
      <c r="J652" s="11" t="n"/>
      <c r="K652" s="9" t="inlineStr">
        <is>
          <t>Europe/Paris</t>
        </is>
      </c>
      <c r="L652" s="9" t="inlineStr">
        <is>
          <t>Garmisch-Partenkirchen</t>
        </is>
      </c>
      <c r="M652" s="9" t="inlineStr">
        <is>
          <t>Allemagne</t>
        </is>
      </c>
      <c r="N652" s="9" t="inlineStr">
        <is>
          <t>Femmes</t>
        </is>
      </c>
      <c r="O652" s="9" t="inlineStr">
        <is>
          <t>Officiel</t>
        </is>
      </c>
      <c r="P652" s="9" t="inlineStr">
        <is>
          <t>Oui</t>
        </is>
      </c>
      <c r="Q652" s="9" t="inlineStr">
        <is>
          <t>https://en.neveitalia.it/sport/scialpino/calendario/coppa-del-mondo-femminile&amp;</t>
        </is>
      </c>
      <c r="R652" s="10" t="n">
        <v>46311</v>
      </c>
      <c r="S652" s="9" t="inlineStr">
        <is>
          <t>Descentes transférées de Lenzerheide</t>
        </is>
      </c>
      <c r="T652" s="9">
        <f>IF(H652="","",IF(MAX(H652,I652)&lt;TODAY(),"Terminé",IF(H652&lt;=TODAY(),"En cours","À venir")))</f>
        <v/>
      </c>
    </row>
    <row r="653">
      <c r="A653" s="9" t="inlineStr">
        <is>
          <t>SKI-2627-065</t>
        </is>
      </c>
      <c r="B653" s="9" t="inlineStr">
        <is>
          <t>Ski alpin</t>
        </is>
      </c>
      <c r="C653" s="9" t="inlineStr">
        <is>
          <t>Coupe du monde de ski alpin</t>
        </is>
      </c>
      <c r="D653" s="9" t="inlineStr">
        <is>
          <t>2026-2027</t>
        </is>
      </c>
      <c r="E653" s="9" t="inlineStr">
        <is>
          <t>Descente</t>
        </is>
      </c>
      <c r="F653" s="9" t="n"/>
      <c r="G653" s="9" t="inlineStr">
        <is>
          <t>Saalbach – Descente Hommes</t>
        </is>
      </c>
      <c r="H653" s="10" t="n">
        <v>46445</v>
      </c>
      <c r="I653" s="10" t="n">
        <v>46445</v>
      </c>
      <c r="J653" s="11" t="n"/>
      <c r="K653" s="9" t="inlineStr">
        <is>
          <t>Europe/Paris</t>
        </is>
      </c>
      <c r="L653" s="9" t="inlineStr">
        <is>
          <t>Saalbach</t>
        </is>
      </c>
      <c r="M653" s="9" t="inlineStr">
        <is>
          <t>Autriche</t>
        </is>
      </c>
      <c r="N653" s="9" t="inlineStr">
        <is>
          <t>Hommes</t>
        </is>
      </c>
      <c r="O653" s="9" t="inlineStr">
        <is>
          <t>Officiel</t>
        </is>
      </c>
      <c r="P653" s="9" t="inlineStr">
        <is>
          <t>Oui</t>
        </is>
      </c>
      <c r="Q653" s="9" t="inlineStr">
        <is>
          <t>https://en.neveitalia.it/sport/scialpino/calendario</t>
        </is>
      </c>
      <c r="R653" s="10" t="n">
        <v>46311</v>
      </c>
      <c r="S653" s="9" t="n"/>
      <c r="T653" s="9">
        <f>IF(H653="","",IF(MAX(H653,I653)&lt;TODAY(),"Terminé",IF(H653&lt;=TODAY(),"En cours","À venir")))</f>
        <v/>
      </c>
    </row>
    <row r="654">
      <c r="A654" s="9" t="inlineStr">
        <is>
          <t>SKI-2627-066</t>
        </is>
      </c>
      <c r="B654" s="9" t="inlineStr">
        <is>
          <t>Ski alpin</t>
        </is>
      </c>
      <c r="C654" s="9" t="inlineStr">
        <is>
          <t>Coupe du monde de ski alpin</t>
        </is>
      </c>
      <c r="D654" s="9" t="inlineStr">
        <is>
          <t>2026-2027</t>
        </is>
      </c>
      <c r="E654" s="9" t="inlineStr">
        <is>
          <t>Descente</t>
        </is>
      </c>
      <c r="F654" s="9" t="n"/>
      <c r="G654" s="9" t="inlineStr">
        <is>
          <t>Garmisch-Partenkirchen – Descente Femmes</t>
        </is>
      </c>
      <c r="H654" s="10" t="n">
        <v>46446</v>
      </c>
      <c r="I654" s="10" t="n">
        <v>46446</v>
      </c>
      <c r="J654" s="11" t="n"/>
      <c r="K654" s="9" t="inlineStr">
        <is>
          <t>Europe/Paris</t>
        </is>
      </c>
      <c r="L654" s="9" t="inlineStr">
        <is>
          <t>Garmisch-Partenkirchen</t>
        </is>
      </c>
      <c r="M654" s="9" t="inlineStr">
        <is>
          <t>Allemagne</t>
        </is>
      </c>
      <c r="N654" s="9" t="inlineStr">
        <is>
          <t>Femmes</t>
        </is>
      </c>
      <c r="O654" s="9" t="inlineStr">
        <is>
          <t>Officiel</t>
        </is>
      </c>
      <c r="P654" s="9" t="inlineStr">
        <is>
          <t>Oui</t>
        </is>
      </c>
      <c r="Q654" s="9" t="inlineStr">
        <is>
          <t>https://en.neveitalia.it/sport/scialpino/calendario/coppa-del-mondo-femminile&amp;</t>
        </is>
      </c>
      <c r="R654" s="10" t="n">
        <v>46311</v>
      </c>
      <c r="S654" s="9" t="inlineStr">
        <is>
          <t>Descentes transférées de Lenzerheide</t>
        </is>
      </c>
      <c r="T654" s="9">
        <f>IF(H654="","",IF(MAX(H654,I654)&lt;TODAY(),"Terminé",IF(H654&lt;=TODAY(),"En cours","À venir")))</f>
        <v/>
      </c>
    </row>
    <row r="655">
      <c r="A655" s="9" t="inlineStr">
        <is>
          <t>SKI-2627-067</t>
        </is>
      </c>
      <c r="B655" s="9" t="inlineStr">
        <is>
          <t>Ski alpin</t>
        </is>
      </c>
      <c r="C655" s="9" t="inlineStr">
        <is>
          <t>Coupe du monde de ski alpin</t>
        </is>
      </c>
      <c r="D655" s="9" t="inlineStr">
        <is>
          <t>2026-2027</t>
        </is>
      </c>
      <c r="E655" s="9" t="inlineStr">
        <is>
          <t>Super-G</t>
        </is>
      </c>
      <c r="F655" s="9" t="n"/>
      <c r="G655" s="9" t="inlineStr">
        <is>
          <t>Saalbach – Super-G Hommes</t>
        </is>
      </c>
      <c r="H655" s="10" t="n">
        <v>46446</v>
      </c>
      <c r="I655" s="10" t="n">
        <v>46446</v>
      </c>
      <c r="J655" s="11" t="n"/>
      <c r="K655" s="9" t="inlineStr">
        <is>
          <t>Europe/Paris</t>
        </is>
      </c>
      <c r="L655" s="9" t="inlineStr">
        <is>
          <t>Saalbach</t>
        </is>
      </c>
      <c r="M655" s="9" t="inlineStr">
        <is>
          <t>Autriche</t>
        </is>
      </c>
      <c r="N655" s="9" t="inlineStr">
        <is>
          <t>Hommes</t>
        </is>
      </c>
      <c r="O655" s="9" t="inlineStr">
        <is>
          <t>Officiel</t>
        </is>
      </c>
      <c r="P655" s="9" t="inlineStr">
        <is>
          <t>Oui</t>
        </is>
      </c>
      <c r="Q655" s="9" t="inlineStr">
        <is>
          <t>https://en.neveitalia.it/sport/scialpino/calendario</t>
        </is>
      </c>
      <c r="R655" s="10" t="n">
        <v>46311</v>
      </c>
      <c r="S655" s="9" t="n"/>
      <c r="T655" s="9">
        <f>IF(H655="","",IF(MAX(H655,I655)&lt;TODAY(),"Terminé",IF(H655&lt;=TODAY(),"En cours","À venir")))</f>
        <v/>
      </c>
    </row>
    <row r="656">
      <c r="A656" s="9" t="inlineStr">
        <is>
          <t>SKI-2627-068</t>
        </is>
      </c>
      <c r="B656" s="9" t="inlineStr">
        <is>
          <t>Ski alpin</t>
        </is>
      </c>
      <c r="C656" s="9" t="inlineStr">
        <is>
          <t>Coupe du monde de ski alpin</t>
        </is>
      </c>
      <c r="D656" s="9" t="inlineStr">
        <is>
          <t>2026-2027</t>
        </is>
      </c>
      <c r="E656" s="9" t="inlineStr">
        <is>
          <t>Slalom géant</t>
        </is>
      </c>
      <c r="F656" s="9" t="n"/>
      <c r="G656" s="9" t="inlineStr">
        <is>
          <t>Soldeu – Slalom géant Femmes</t>
        </is>
      </c>
      <c r="H656" s="10" t="n">
        <v>46452</v>
      </c>
      <c r="I656" s="10" t="n">
        <v>46452</v>
      </c>
      <c r="J656" s="11" t="n"/>
      <c r="K656" s="9" t="inlineStr">
        <is>
          <t>Europe/Paris</t>
        </is>
      </c>
      <c r="L656" s="9" t="inlineStr">
        <is>
          <t>Soldeu</t>
        </is>
      </c>
      <c r="M656" s="9" t="inlineStr">
        <is>
          <t>Andorre</t>
        </is>
      </c>
      <c r="N656" s="9" t="inlineStr">
        <is>
          <t>Femmes</t>
        </is>
      </c>
      <c r="O656" s="9" t="inlineStr">
        <is>
          <t>Officiel</t>
        </is>
      </c>
      <c r="P656" s="9" t="inlineStr">
        <is>
          <t>Oui</t>
        </is>
      </c>
      <c r="Q656" s="9" t="inlineStr">
        <is>
          <t>https://en.neveitalia.it/sport/scialpino/calendario/coppa-del-mondo-femminile&amp;</t>
        </is>
      </c>
      <c r="R656" s="10" t="n">
        <v>46311</v>
      </c>
      <c r="S656" s="9" t="n"/>
      <c r="T656" s="9">
        <f>IF(H656="","",IF(MAX(H656,I656)&lt;TODAY(),"Terminé",IF(H656&lt;=TODAY(),"En cours","À venir")))</f>
        <v/>
      </c>
    </row>
    <row r="657">
      <c r="A657" s="9" t="inlineStr">
        <is>
          <t>SKI-2627-069</t>
        </is>
      </c>
      <c r="B657" s="9" t="inlineStr">
        <is>
          <t>Ski alpin</t>
        </is>
      </c>
      <c r="C657" s="9" t="inlineStr">
        <is>
          <t>Coupe du monde de ski alpin</t>
        </is>
      </c>
      <c r="D657" s="9" t="inlineStr">
        <is>
          <t>2026-2027</t>
        </is>
      </c>
      <c r="E657" s="9" t="inlineStr">
        <is>
          <t>Descente</t>
        </is>
      </c>
      <c r="F657" s="9" t="n"/>
      <c r="G657" s="9" t="inlineStr">
        <is>
          <t>Kvitfjell – Descente Hommes</t>
        </is>
      </c>
      <c r="H657" s="10" t="n">
        <v>46452</v>
      </c>
      <c r="I657" s="10" t="n">
        <v>46452</v>
      </c>
      <c r="J657" s="11" t="n"/>
      <c r="K657" s="9" t="inlineStr">
        <is>
          <t>Europe/Paris</t>
        </is>
      </c>
      <c r="L657" s="9" t="inlineStr">
        <is>
          <t>Kvitfjell</t>
        </is>
      </c>
      <c r="M657" s="9" t="inlineStr">
        <is>
          <t>Norvège</t>
        </is>
      </c>
      <c r="N657" s="9" t="inlineStr">
        <is>
          <t>Hommes</t>
        </is>
      </c>
      <c r="O657" s="9" t="inlineStr">
        <is>
          <t>Officiel</t>
        </is>
      </c>
      <c r="P657" s="9" t="inlineStr">
        <is>
          <t>Oui</t>
        </is>
      </c>
      <c r="Q657" s="9" t="inlineStr">
        <is>
          <t>https://en.neveitalia.it/sport/scialpino/calendario</t>
        </is>
      </c>
      <c r="R657" s="10" t="n">
        <v>46311</v>
      </c>
      <c r="S657" s="9" t="n"/>
      <c r="T657" s="9">
        <f>IF(H657="","",IF(MAX(H657,I657)&lt;TODAY(),"Terminé",IF(H657&lt;=TODAY(),"En cours","À venir")))</f>
        <v/>
      </c>
    </row>
    <row r="658">
      <c r="A658" s="9" t="inlineStr">
        <is>
          <t>SKI-2627-070</t>
        </is>
      </c>
      <c r="B658" s="9" t="inlineStr">
        <is>
          <t>Ski alpin</t>
        </is>
      </c>
      <c r="C658" s="9" t="inlineStr">
        <is>
          <t>Coupe du monde de ski alpin</t>
        </is>
      </c>
      <c r="D658" s="9" t="inlineStr">
        <is>
          <t>2026-2027</t>
        </is>
      </c>
      <c r="E658" s="9" t="inlineStr">
        <is>
          <t>Slalom</t>
        </is>
      </c>
      <c r="F658" s="9" t="n"/>
      <c r="G658" s="9" t="inlineStr">
        <is>
          <t>Soldeu – Slalom Femmes</t>
        </is>
      </c>
      <c r="H658" s="10" t="n">
        <v>46453</v>
      </c>
      <c r="I658" s="10" t="n">
        <v>46453</v>
      </c>
      <c r="J658" s="11" t="n"/>
      <c r="K658" s="9" t="inlineStr">
        <is>
          <t>Europe/Paris</t>
        </is>
      </c>
      <c r="L658" s="9" t="inlineStr">
        <is>
          <t>Soldeu</t>
        </is>
      </c>
      <c r="M658" s="9" t="inlineStr">
        <is>
          <t>Andorre</t>
        </is>
      </c>
      <c r="N658" s="9" t="inlineStr">
        <is>
          <t>Femmes</t>
        </is>
      </c>
      <c r="O658" s="9" t="inlineStr">
        <is>
          <t>Officiel</t>
        </is>
      </c>
      <c r="P658" s="9" t="inlineStr">
        <is>
          <t>Oui</t>
        </is>
      </c>
      <c r="Q658" s="9" t="inlineStr">
        <is>
          <t>https://en.neveitalia.it/sport/scialpino/calendario/coppa-del-mondo-femminile&amp;</t>
        </is>
      </c>
      <c r="R658" s="10" t="n">
        <v>46311</v>
      </c>
      <c r="S658" s="9" t="n"/>
      <c r="T658" s="9">
        <f>IF(H658="","",IF(MAX(H658,I658)&lt;TODAY(),"Terminé",IF(H658&lt;=TODAY(),"En cours","À venir")))</f>
        <v/>
      </c>
    </row>
    <row r="659">
      <c r="A659" s="9" t="inlineStr">
        <is>
          <t>SKI-2627-071</t>
        </is>
      </c>
      <c r="B659" s="9" t="inlineStr">
        <is>
          <t>Ski alpin</t>
        </is>
      </c>
      <c r="C659" s="9" t="inlineStr">
        <is>
          <t>Coupe du monde de ski alpin</t>
        </is>
      </c>
      <c r="D659" s="9" t="inlineStr">
        <is>
          <t>2026-2027</t>
        </is>
      </c>
      <c r="E659" s="9" t="inlineStr">
        <is>
          <t>Super-G</t>
        </is>
      </c>
      <c r="F659" s="9" t="n"/>
      <c r="G659" s="9" t="inlineStr">
        <is>
          <t>Kvitfjell – Super-G Hommes</t>
        </is>
      </c>
      <c r="H659" s="10" t="n">
        <v>46453</v>
      </c>
      <c r="I659" s="10" t="n">
        <v>46453</v>
      </c>
      <c r="J659" s="11" t="n"/>
      <c r="K659" s="9" t="inlineStr">
        <is>
          <t>Europe/Paris</t>
        </is>
      </c>
      <c r="L659" s="9" t="inlineStr">
        <is>
          <t>Kvitfjell</t>
        </is>
      </c>
      <c r="M659" s="9" t="inlineStr">
        <is>
          <t>Norvège</t>
        </is>
      </c>
      <c r="N659" s="9" t="inlineStr">
        <is>
          <t>Hommes</t>
        </is>
      </c>
      <c r="O659" s="9" t="inlineStr">
        <is>
          <t>Officiel</t>
        </is>
      </c>
      <c r="P659" s="9" t="inlineStr">
        <is>
          <t>Oui</t>
        </is>
      </c>
      <c r="Q659" s="9" t="inlineStr">
        <is>
          <t>https://en.neveitalia.it/sport/scialpino/calendario</t>
        </is>
      </c>
      <c r="R659" s="10" t="n">
        <v>46311</v>
      </c>
      <c r="S659" s="9" t="n"/>
      <c r="T659" s="9">
        <f>IF(H659="","",IF(MAX(H659,I659)&lt;TODAY(),"Terminé",IF(H659&lt;=TODAY(),"En cours","À venir")))</f>
        <v/>
      </c>
    </row>
    <row r="660">
      <c r="A660" s="9" t="inlineStr">
        <is>
          <t>SKI-2627-072</t>
        </is>
      </c>
      <c r="B660" s="9" t="inlineStr">
        <is>
          <t>Ski alpin</t>
        </is>
      </c>
      <c r="C660" s="9" t="inlineStr">
        <is>
          <t>Coupe du monde de ski alpin</t>
        </is>
      </c>
      <c r="D660" s="9" t="inlineStr">
        <is>
          <t>2026-2027</t>
        </is>
      </c>
      <c r="E660" s="9" t="inlineStr">
        <is>
          <t>Descente</t>
        </is>
      </c>
      <c r="F660" s="9" t="n"/>
      <c r="G660" s="9" t="inlineStr">
        <is>
          <t>Narvik – Descente Femmes</t>
        </is>
      </c>
      <c r="H660" s="10" t="n">
        <v>46458</v>
      </c>
      <c r="I660" s="10" t="n">
        <v>46458</v>
      </c>
      <c r="J660" s="11" t="n"/>
      <c r="K660" s="9" t="inlineStr">
        <is>
          <t>Europe/Paris</t>
        </is>
      </c>
      <c r="L660" s="9" t="inlineStr">
        <is>
          <t>Narvik</t>
        </is>
      </c>
      <c r="M660" s="9" t="inlineStr">
        <is>
          <t>Norvège</t>
        </is>
      </c>
      <c r="N660" s="9" t="inlineStr">
        <is>
          <t>Femmes</t>
        </is>
      </c>
      <c r="O660" s="9" t="inlineStr">
        <is>
          <t>À confirmer</t>
        </is>
      </c>
      <c r="P660" s="9" t="inlineStr">
        <is>
          <t>Oui</t>
        </is>
      </c>
      <c r="Q660" s="9" t="inlineStr">
        <is>
          <t>https://en.neveitalia.it/sport/scialpino/calendario/coppa-del-mondo-femminile&amp;</t>
        </is>
      </c>
      <c r="R660" s="10" t="n">
        <v>46311</v>
      </c>
      <c r="S660" s="9" t="inlineStr">
        <is>
          <t>Étape marquée TBC (travaux avant Mondiaux 2029) ; ordre DH/SG à confirmer ; site de repli possible</t>
        </is>
      </c>
      <c r="T660" s="9">
        <f>IF(H660="","",IF(MAX(H660,I660)&lt;TODAY(),"Terminé",IF(H660&lt;=TODAY(),"En cours","À venir")))</f>
        <v/>
      </c>
    </row>
    <row r="661">
      <c r="A661" s="9" t="inlineStr">
        <is>
          <t>SKI-2627-073</t>
        </is>
      </c>
      <c r="B661" s="9" t="inlineStr">
        <is>
          <t>Ski alpin</t>
        </is>
      </c>
      <c r="C661" s="9" t="inlineStr">
        <is>
          <t>Coupe du monde de ski alpin</t>
        </is>
      </c>
      <c r="D661" s="9" t="inlineStr">
        <is>
          <t>2026-2027</t>
        </is>
      </c>
      <c r="E661" s="9" t="inlineStr">
        <is>
          <t>Super-G</t>
        </is>
      </c>
      <c r="F661" s="9" t="n"/>
      <c r="G661" s="9" t="inlineStr">
        <is>
          <t>Narvik – Super-G Femmes</t>
        </is>
      </c>
      <c r="H661" s="10" t="n">
        <v>46459</v>
      </c>
      <c r="I661" s="10" t="n">
        <v>46459</v>
      </c>
      <c r="J661" s="11" t="n"/>
      <c r="K661" s="9" t="inlineStr">
        <is>
          <t>Europe/Paris</t>
        </is>
      </c>
      <c r="L661" s="9" t="inlineStr">
        <is>
          <t>Narvik</t>
        </is>
      </c>
      <c r="M661" s="9" t="inlineStr">
        <is>
          <t>Norvège</t>
        </is>
      </c>
      <c r="N661" s="9" t="inlineStr">
        <is>
          <t>Femmes</t>
        </is>
      </c>
      <c r="O661" s="9" t="inlineStr">
        <is>
          <t>À confirmer</t>
        </is>
      </c>
      <c r="P661" s="9" t="inlineStr">
        <is>
          <t>Oui</t>
        </is>
      </c>
      <c r="Q661" s="9" t="inlineStr">
        <is>
          <t>https://en.neveitalia.it/sport/scialpino/calendario/coppa-del-mondo-femminile&amp;</t>
        </is>
      </c>
      <c r="R661" s="10" t="n">
        <v>46311</v>
      </c>
      <c r="S661" s="9" t="inlineStr">
        <is>
          <t>Étape marquée TBC (travaux avant Mondiaux 2029) ; ordre DH/SG à confirmer ; site de repli possible</t>
        </is>
      </c>
      <c r="T661" s="9">
        <f>IF(H661="","",IF(MAX(H661,I661)&lt;TODAY(),"Terminé",IF(H661&lt;=TODAY(),"En cours","À venir")))</f>
        <v/>
      </c>
    </row>
    <row r="662">
      <c r="A662" s="9" t="inlineStr">
        <is>
          <t>SKI-2627-074</t>
        </is>
      </c>
      <c r="B662" s="9" t="inlineStr">
        <is>
          <t>Ski alpin</t>
        </is>
      </c>
      <c r="C662" s="9" t="inlineStr">
        <is>
          <t>Coupe du monde de ski alpin</t>
        </is>
      </c>
      <c r="D662" s="9" t="inlineStr">
        <is>
          <t>2026-2027</t>
        </is>
      </c>
      <c r="E662" s="9" t="inlineStr">
        <is>
          <t>Slalom géant</t>
        </is>
      </c>
      <c r="F662" s="9" t="n"/>
      <c r="G662" s="9" t="inlineStr">
        <is>
          <t>Åre – Slalom géant Hommes</t>
        </is>
      </c>
      <c r="H662" s="10" t="n">
        <v>46459</v>
      </c>
      <c r="I662" s="10" t="n">
        <v>46459</v>
      </c>
      <c r="J662" s="11" t="n"/>
      <c r="K662" s="9" t="inlineStr">
        <is>
          <t>Europe/Paris</t>
        </is>
      </c>
      <c r="L662" s="9" t="inlineStr">
        <is>
          <t>Åre</t>
        </is>
      </c>
      <c r="M662" s="9" t="inlineStr">
        <is>
          <t>Suède</t>
        </is>
      </c>
      <c r="N662" s="9" t="inlineStr">
        <is>
          <t>Hommes</t>
        </is>
      </c>
      <c r="O662" s="9" t="inlineStr">
        <is>
          <t>Officiel</t>
        </is>
      </c>
      <c r="P662" s="9" t="inlineStr">
        <is>
          <t>Oui</t>
        </is>
      </c>
      <c r="Q662" s="9" t="inlineStr">
        <is>
          <t>https://en.neveitalia.it/sport/scialpino/calendario</t>
        </is>
      </c>
      <c r="R662" s="10" t="n">
        <v>46311</v>
      </c>
      <c r="S662" s="9" t="n"/>
      <c r="T662" s="9">
        <f>IF(H662="","",IF(MAX(H662,I662)&lt;TODAY(),"Terminé",IF(H662&lt;=TODAY(),"En cours","À venir")))</f>
        <v/>
      </c>
    </row>
    <row r="663">
      <c r="A663" s="9" t="inlineStr">
        <is>
          <t>SKI-2627-075</t>
        </is>
      </c>
      <c r="B663" s="9" t="inlineStr">
        <is>
          <t>Ski alpin</t>
        </is>
      </c>
      <c r="C663" s="9" t="inlineStr">
        <is>
          <t>Coupe du monde de ski alpin</t>
        </is>
      </c>
      <c r="D663" s="9" t="inlineStr">
        <is>
          <t>2026-2027</t>
        </is>
      </c>
      <c r="E663" s="9" t="inlineStr">
        <is>
          <t>Slalom</t>
        </is>
      </c>
      <c r="F663" s="9" t="n"/>
      <c r="G663" s="9" t="inlineStr">
        <is>
          <t>Åre – Slalom Hommes</t>
        </is>
      </c>
      <c r="H663" s="10" t="n">
        <v>46460</v>
      </c>
      <c r="I663" s="10" t="n">
        <v>46460</v>
      </c>
      <c r="J663" s="11" t="n"/>
      <c r="K663" s="9" t="inlineStr">
        <is>
          <t>Europe/Paris</t>
        </is>
      </c>
      <c r="L663" s="9" t="inlineStr">
        <is>
          <t>Åre</t>
        </is>
      </c>
      <c r="M663" s="9" t="inlineStr">
        <is>
          <t>Suède</t>
        </is>
      </c>
      <c r="N663" s="9" t="inlineStr">
        <is>
          <t>Hommes</t>
        </is>
      </c>
      <c r="O663" s="9" t="inlineStr">
        <is>
          <t>Officiel</t>
        </is>
      </c>
      <c r="P663" s="9" t="inlineStr">
        <is>
          <t>Oui</t>
        </is>
      </c>
      <c r="Q663" s="9" t="inlineStr">
        <is>
          <t>https://en.neveitalia.it/sport/scialpino/calendario</t>
        </is>
      </c>
      <c r="R663" s="10" t="n">
        <v>46311</v>
      </c>
      <c r="S663" s="9" t="n"/>
      <c r="T663" s="9">
        <f>IF(H663="","",IF(MAX(H663,I663)&lt;TODAY(),"Terminé",IF(H663&lt;=TODAY(),"En cours","À venir")))</f>
        <v/>
      </c>
    </row>
    <row r="664">
      <c r="A664" s="9" t="inlineStr">
        <is>
          <t>SKI-2627-076</t>
        </is>
      </c>
      <c r="B664" s="9" t="inlineStr">
        <is>
          <t>Ski alpin</t>
        </is>
      </c>
      <c r="C664" s="9" t="inlineStr">
        <is>
          <t>Coupe du monde de ski alpin</t>
        </is>
      </c>
      <c r="D664" s="9" t="inlineStr">
        <is>
          <t>2026-2027</t>
        </is>
      </c>
      <c r="E664" s="9" t="inlineStr">
        <is>
          <t>Descente</t>
        </is>
      </c>
      <c r="F664" s="9" t="n"/>
      <c r="G664" s="9" t="inlineStr">
        <is>
          <t>Sun Valley – Descente Femmes</t>
        </is>
      </c>
      <c r="H664" s="10" t="n">
        <v>46466</v>
      </c>
      <c r="I664" s="10" t="n">
        <v>46466</v>
      </c>
      <c r="J664" s="11" t="n"/>
      <c r="K664" s="9" t="inlineStr">
        <is>
          <t>Europe/Paris</t>
        </is>
      </c>
      <c r="L664" s="9" t="inlineStr">
        <is>
          <t>Sun Valley</t>
        </is>
      </c>
      <c r="M664" s="9" t="inlineStr">
        <is>
          <t>États-Unis</t>
        </is>
      </c>
      <c r="N664" s="9" t="inlineStr">
        <is>
          <t>Femmes</t>
        </is>
      </c>
      <c r="O664" s="9" t="inlineStr">
        <is>
          <t>Officiel</t>
        </is>
      </c>
      <c r="P664" s="9" t="inlineStr">
        <is>
          <t>Oui</t>
        </is>
      </c>
      <c r="Q664" s="9" t="inlineStr">
        <is>
          <t>https://skiracing.com/stifel-sun-valley-finals-2027-world-cup-racing-returns-to-idaho/</t>
        </is>
      </c>
      <c r="R664" s="10" t="n">
        <v>46311</v>
      </c>
      <c r="S664" s="9" t="inlineStr">
        <is>
          <t>Finales de la Coupe du monde</t>
        </is>
      </c>
      <c r="T664" s="9">
        <f>IF(H664="","",IF(MAX(H664,I664)&lt;TODAY(),"Terminé",IF(H664&lt;=TODAY(),"En cours","À venir")))</f>
        <v/>
      </c>
    </row>
    <row r="665">
      <c r="A665" s="9" t="inlineStr">
        <is>
          <t>SKI-2627-077</t>
        </is>
      </c>
      <c r="B665" s="9" t="inlineStr">
        <is>
          <t>Ski alpin</t>
        </is>
      </c>
      <c r="C665" s="9" t="inlineStr">
        <is>
          <t>Coupe du monde de ski alpin</t>
        </is>
      </c>
      <c r="D665" s="9" t="inlineStr">
        <is>
          <t>2026-2027</t>
        </is>
      </c>
      <c r="E665" s="9" t="inlineStr">
        <is>
          <t>Descente</t>
        </is>
      </c>
      <c r="F665" s="9" t="n"/>
      <c r="G665" s="9" t="inlineStr">
        <is>
          <t>Sun Valley – Descente Hommes</t>
        </is>
      </c>
      <c r="H665" s="10" t="n">
        <v>46466</v>
      </c>
      <c r="I665" s="10" t="n">
        <v>46466</v>
      </c>
      <c r="J665" s="11" t="n"/>
      <c r="K665" s="9" t="inlineStr">
        <is>
          <t>Europe/Paris</t>
        </is>
      </c>
      <c r="L665" s="9" t="inlineStr">
        <is>
          <t>Sun Valley</t>
        </is>
      </c>
      <c r="M665" s="9" t="inlineStr">
        <is>
          <t>États-Unis</t>
        </is>
      </c>
      <c r="N665" s="9" t="inlineStr">
        <is>
          <t>Hommes</t>
        </is>
      </c>
      <c r="O665" s="9" t="inlineStr">
        <is>
          <t>Officiel</t>
        </is>
      </c>
      <c r="P665" s="9" t="inlineStr">
        <is>
          <t>Oui</t>
        </is>
      </c>
      <c r="Q665" s="9" t="inlineStr">
        <is>
          <t>https://skiracing.com/stifel-sun-valley-finals-2027-world-cup-racing-returns-to-idaho/</t>
        </is>
      </c>
      <c r="R665" s="10" t="n">
        <v>46311</v>
      </c>
      <c r="S665" s="9" t="inlineStr">
        <is>
          <t>Finales de la Coupe du monde</t>
        </is>
      </c>
      <c r="T665" s="9">
        <f>IF(H665="","",IF(MAX(H665,I665)&lt;TODAY(),"Terminé",IF(H665&lt;=TODAY(),"En cours","À venir")))</f>
        <v/>
      </c>
    </row>
    <row r="666">
      <c r="A666" s="9" t="inlineStr">
        <is>
          <t>SKI-2627-078</t>
        </is>
      </c>
      <c r="B666" s="9" t="inlineStr">
        <is>
          <t>Ski alpin</t>
        </is>
      </c>
      <c r="C666" s="9" t="inlineStr">
        <is>
          <t>Coupe du monde de ski alpin</t>
        </is>
      </c>
      <c r="D666" s="9" t="inlineStr">
        <is>
          <t>2026-2027</t>
        </is>
      </c>
      <c r="E666" s="9" t="inlineStr">
        <is>
          <t>Super-G</t>
        </is>
      </c>
      <c r="F666" s="9" t="n"/>
      <c r="G666" s="9" t="inlineStr">
        <is>
          <t>Sun Valley – Super-G Femmes</t>
        </is>
      </c>
      <c r="H666" s="10" t="n">
        <v>46467</v>
      </c>
      <c r="I666" s="10" t="n">
        <v>46467</v>
      </c>
      <c r="J666" s="11" t="n"/>
      <c r="K666" s="9" t="inlineStr">
        <is>
          <t>Europe/Paris</t>
        </is>
      </c>
      <c r="L666" s="9" t="inlineStr">
        <is>
          <t>Sun Valley</t>
        </is>
      </c>
      <c r="M666" s="9" t="inlineStr">
        <is>
          <t>États-Unis</t>
        </is>
      </c>
      <c r="N666" s="9" t="inlineStr">
        <is>
          <t>Femmes</t>
        </is>
      </c>
      <c r="O666" s="9" t="inlineStr">
        <is>
          <t>Officiel</t>
        </is>
      </c>
      <c r="P666" s="9" t="inlineStr">
        <is>
          <t>Oui</t>
        </is>
      </c>
      <c r="Q666" s="9" t="inlineStr">
        <is>
          <t>https://skiracing.com/stifel-sun-valley-finals-2027-world-cup-racing-returns-to-idaho/</t>
        </is>
      </c>
      <c r="R666" s="10" t="n">
        <v>46311</v>
      </c>
      <c r="S666" s="9" t="inlineStr">
        <is>
          <t>Finales de la Coupe du monde</t>
        </is>
      </c>
      <c r="T666" s="9">
        <f>IF(H666="","",IF(MAX(H666,I666)&lt;TODAY(),"Terminé",IF(H666&lt;=TODAY(),"En cours","À venir")))</f>
        <v/>
      </c>
    </row>
    <row r="667">
      <c r="A667" s="9" t="inlineStr">
        <is>
          <t>SKI-2627-079</t>
        </is>
      </c>
      <c r="B667" s="9" t="inlineStr">
        <is>
          <t>Ski alpin</t>
        </is>
      </c>
      <c r="C667" s="9" t="inlineStr">
        <is>
          <t>Coupe du monde de ski alpin</t>
        </is>
      </c>
      <c r="D667" s="9" t="inlineStr">
        <is>
          <t>2026-2027</t>
        </is>
      </c>
      <c r="E667" s="9" t="inlineStr">
        <is>
          <t>Super-G</t>
        </is>
      </c>
      <c r="F667" s="9" t="n"/>
      <c r="G667" s="9" t="inlineStr">
        <is>
          <t>Sun Valley – Super-G Hommes</t>
        </is>
      </c>
      <c r="H667" s="10" t="n">
        <v>46467</v>
      </c>
      <c r="I667" s="10" t="n">
        <v>46467</v>
      </c>
      <c r="J667" s="11" t="n"/>
      <c r="K667" s="9" t="inlineStr">
        <is>
          <t>Europe/Paris</t>
        </is>
      </c>
      <c r="L667" s="9" t="inlineStr">
        <is>
          <t>Sun Valley</t>
        </is>
      </c>
      <c r="M667" s="9" t="inlineStr">
        <is>
          <t>États-Unis</t>
        </is>
      </c>
      <c r="N667" s="9" t="inlineStr">
        <is>
          <t>Hommes</t>
        </is>
      </c>
      <c r="O667" s="9" t="inlineStr">
        <is>
          <t>Officiel</t>
        </is>
      </c>
      <c r="P667" s="9" t="inlineStr">
        <is>
          <t>Oui</t>
        </is>
      </c>
      <c r="Q667" s="9" t="inlineStr">
        <is>
          <t>https://skiracing.com/stifel-sun-valley-finals-2027-world-cup-racing-returns-to-idaho/</t>
        </is>
      </c>
      <c r="R667" s="10" t="n">
        <v>46311</v>
      </c>
      <c r="S667" s="9" t="inlineStr">
        <is>
          <t>Finales de la Coupe du monde</t>
        </is>
      </c>
      <c r="T667" s="9">
        <f>IF(H667="","",IF(MAX(H667,I667)&lt;TODAY(),"Terminé",IF(H667&lt;=TODAY(),"En cours","À venir")))</f>
        <v/>
      </c>
    </row>
    <row r="668">
      <c r="A668" s="9" t="inlineStr">
        <is>
          <t>SKI-2627-080</t>
        </is>
      </c>
      <c r="B668" s="9" t="inlineStr">
        <is>
          <t>Ski alpin</t>
        </is>
      </c>
      <c r="C668" s="9" t="inlineStr">
        <is>
          <t>Coupe du monde de ski alpin</t>
        </is>
      </c>
      <c r="D668" s="9" t="inlineStr">
        <is>
          <t>2026-2027</t>
        </is>
      </c>
      <c r="E668" s="9" t="inlineStr">
        <is>
          <t>Slalom géant</t>
        </is>
      </c>
      <c r="F668" s="9" t="n"/>
      <c r="G668" s="9" t="inlineStr">
        <is>
          <t>Sun Valley – Slalom géant Femmes</t>
        </is>
      </c>
      <c r="H668" s="10" t="n">
        <v>46469</v>
      </c>
      <c r="I668" s="10" t="n">
        <v>46469</v>
      </c>
      <c r="J668" s="11" t="n"/>
      <c r="K668" s="9" t="inlineStr">
        <is>
          <t>Europe/Paris</t>
        </is>
      </c>
      <c r="L668" s="9" t="inlineStr">
        <is>
          <t>Sun Valley</t>
        </is>
      </c>
      <c r="M668" s="9" t="inlineStr">
        <is>
          <t>États-Unis</t>
        </is>
      </c>
      <c r="N668" s="9" t="inlineStr">
        <is>
          <t>Femmes</t>
        </is>
      </c>
      <c r="O668" s="9" t="inlineStr">
        <is>
          <t>Officiel</t>
        </is>
      </c>
      <c r="P668" s="9" t="inlineStr">
        <is>
          <t>Oui</t>
        </is>
      </c>
      <c r="Q668" s="9" t="inlineStr">
        <is>
          <t>https://skiracing.com/stifel-sun-valley-finals-2027-world-cup-racing-returns-to-idaho/</t>
        </is>
      </c>
      <c r="R668" s="10" t="n">
        <v>46311</v>
      </c>
      <c r="S668" s="9" t="inlineStr">
        <is>
          <t>Finales de la Coupe du monde ; date GS inversée H/F sur le site US Ski &amp; Snowboard</t>
        </is>
      </c>
      <c r="T668" s="9">
        <f>IF(H668="","",IF(MAX(H668,I668)&lt;TODAY(),"Terminé",IF(H668&lt;=TODAY(),"En cours","À venir")))</f>
        <v/>
      </c>
    </row>
    <row r="669">
      <c r="A669" s="9" t="inlineStr">
        <is>
          <t>SKI-2627-081</t>
        </is>
      </c>
      <c r="B669" s="9" t="inlineStr">
        <is>
          <t>Ski alpin</t>
        </is>
      </c>
      <c r="C669" s="9" t="inlineStr">
        <is>
          <t>Coupe du monde de ski alpin</t>
        </is>
      </c>
      <c r="D669" s="9" t="inlineStr">
        <is>
          <t>2026-2027</t>
        </is>
      </c>
      <c r="E669" s="9" t="inlineStr">
        <is>
          <t>Slalom géant</t>
        </is>
      </c>
      <c r="F669" s="9" t="n"/>
      <c r="G669" s="9" t="inlineStr">
        <is>
          <t>Sun Valley – Slalom géant Hommes</t>
        </is>
      </c>
      <c r="H669" s="10" t="n">
        <v>46470</v>
      </c>
      <c r="I669" s="10" t="n">
        <v>46470</v>
      </c>
      <c r="J669" s="11" t="n"/>
      <c r="K669" s="9" t="inlineStr">
        <is>
          <t>Europe/Paris</t>
        </is>
      </c>
      <c r="L669" s="9" t="inlineStr">
        <is>
          <t>Sun Valley</t>
        </is>
      </c>
      <c r="M669" s="9" t="inlineStr">
        <is>
          <t>États-Unis</t>
        </is>
      </c>
      <c r="N669" s="9" t="inlineStr">
        <is>
          <t>Hommes</t>
        </is>
      </c>
      <c r="O669" s="9" t="inlineStr">
        <is>
          <t>Officiel</t>
        </is>
      </c>
      <c r="P669" s="9" t="inlineStr">
        <is>
          <t>Oui</t>
        </is>
      </c>
      <c r="Q669" s="9" t="inlineStr">
        <is>
          <t>https://skiracing.com/stifel-sun-valley-finals-2027-world-cup-racing-returns-to-idaho/</t>
        </is>
      </c>
      <c r="R669" s="10" t="n">
        <v>46311</v>
      </c>
      <c r="S669" s="9" t="inlineStr">
        <is>
          <t>Finales de la Coupe du monde ; date GS inversée H/F sur le site US Ski &amp; Snowboard</t>
        </is>
      </c>
      <c r="T669" s="9">
        <f>IF(H669="","",IF(MAX(H669,I669)&lt;TODAY(),"Terminé",IF(H669&lt;=TODAY(),"En cours","À venir")))</f>
        <v/>
      </c>
    </row>
    <row r="670">
      <c r="A670" s="9" t="inlineStr">
        <is>
          <t>SKI-2627-082</t>
        </is>
      </c>
      <c r="B670" s="9" t="inlineStr">
        <is>
          <t>Ski alpin</t>
        </is>
      </c>
      <c r="C670" s="9" t="inlineStr">
        <is>
          <t>Coupe du monde de ski alpin</t>
        </is>
      </c>
      <c r="D670" s="9" t="inlineStr">
        <is>
          <t>2026-2027</t>
        </is>
      </c>
      <c r="E670" s="9" t="inlineStr">
        <is>
          <t>Slalom</t>
        </is>
      </c>
      <c r="F670" s="9" t="n"/>
      <c r="G670" s="9" t="inlineStr">
        <is>
          <t>Sun Valley – Slalom Femmes</t>
        </is>
      </c>
      <c r="H670" s="10" t="n">
        <v>46471</v>
      </c>
      <c r="I670" s="10" t="n">
        <v>46471</v>
      </c>
      <c r="J670" s="11" t="n"/>
      <c r="K670" s="9" t="inlineStr">
        <is>
          <t>Europe/Paris</t>
        </is>
      </c>
      <c r="L670" s="9" t="inlineStr">
        <is>
          <t>Sun Valley</t>
        </is>
      </c>
      <c r="M670" s="9" t="inlineStr">
        <is>
          <t>États-Unis</t>
        </is>
      </c>
      <c r="N670" s="9" t="inlineStr">
        <is>
          <t>Femmes</t>
        </is>
      </c>
      <c r="O670" s="9" t="inlineStr">
        <is>
          <t>Officiel</t>
        </is>
      </c>
      <c r="P670" s="9" t="inlineStr">
        <is>
          <t>Oui</t>
        </is>
      </c>
      <c r="Q670" s="9" t="inlineStr">
        <is>
          <t>https://skiracing.com/stifel-sun-valley-finals-2027-world-cup-racing-returns-to-idaho/</t>
        </is>
      </c>
      <c r="R670" s="10" t="n">
        <v>46311</v>
      </c>
      <c r="S670" s="9" t="inlineStr">
        <is>
          <t>Finales de la Coupe du monde</t>
        </is>
      </c>
      <c r="T670" s="9">
        <f>IF(H670="","",IF(MAX(H670,I670)&lt;TODAY(),"Terminé",IF(H670&lt;=TODAY(),"En cours","À venir")))</f>
        <v/>
      </c>
    </row>
    <row r="671">
      <c r="A671" s="9" t="inlineStr">
        <is>
          <t>SKI-2627-083</t>
        </is>
      </c>
      <c r="B671" s="9" t="inlineStr">
        <is>
          <t>Ski alpin</t>
        </is>
      </c>
      <c r="C671" s="9" t="inlineStr">
        <is>
          <t>Coupe du monde de ski alpin</t>
        </is>
      </c>
      <c r="D671" s="9" t="inlineStr">
        <is>
          <t>2026-2027</t>
        </is>
      </c>
      <c r="E671" s="9" t="inlineStr">
        <is>
          <t>Slalom</t>
        </is>
      </c>
      <c r="F671" s="9" t="n"/>
      <c r="G671" s="9" t="inlineStr">
        <is>
          <t>Sun Valley – Slalom Hommes</t>
        </is>
      </c>
      <c r="H671" s="10" t="n">
        <v>46471</v>
      </c>
      <c r="I671" s="10" t="n">
        <v>46471</v>
      </c>
      <c r="J671" s="11" t="n"/>
      <c r="K671" s="9" t="inlineStr">
        <is>
          <t>Europe/Paris</t>
        </is>
      </c>
      <c r="L671" s="9" t="inlineStr">
        <is>
          <t>Sun Valley</t>
        </is>
      </c>
      <c r="M671" s="9" t="inlineStr">
        <is>
          <t>États-Unis</t>
        </is>
      </c>
      <c r="N671" s="9" t="inlineStr">
        <is>
          <t>Hommes</t>
        </is>
      </c>
      <c r="O671" s="9" t="inlineStr">
        <is>
          <t>Officiel</t>
        </is>
      </c>
      <c r="P671" s="9" t="inlineStr">
        <is>
          <t>Oui</t>
        </is>
      </c>
      <c r="Q671" s="9" t="inlineStr">
        <is>
          <t>https://skiracing.com/stifel-sun-valley-finals-2027-world-cup-racing-returns-to-idaho/</t>
        </is>
      </c>
      <c r="R671" s="10" t="n">
        <v>46311</v>
      </c>
      <c r="S671" s="9" t="inlineStr">
        <is>
          <t>Finales de la Coupe du monde</t>
        </is>
      </c>
      <c r="T671" s="9">
        <f>IF(H671="","",IF(MAX(H671,I671)&lt;TODAY(),"Terminé",IF(H671&lt;=TODAY(),"En cours","À venir")))</f>
        <v/>
      </c>
    </row>
    <row r="672">
      <c r="A672" s="9" t="inlineStr">
        <is>
          <t>SKIM-2627-001</t>
        </is>
      </c>
      <c r="B672" s="9" t="inlineStr">
        <is>
          <t>Ski alpin</t>
        </is>
      </c>
      <c r="C672" s="9" t="inlineStr">
        <is>
          <t>Championnats du monde de ski alpin</t>
        </is>
      </c>
      <c r="D672" s="9" t="inlineStr">
        <is>
          <t>2026-2027</t>
        </is>
      </c>
      <c r="E672" s="9" t="inlineStr">
        <is>
          <t>Parallèle par équipes</t>
        </is>
      </c>
      <c r="F672" s="9" t="n"/>
      <c r="G672" s="9" t="inlineStr">
        <is>
          <t>Crans-Montana – Parallèle par équipes Mixte</t>
        </is>
      </c>
      <c r="H672" s="10" t="n">
        <v>46419</v>
      </c>
      <c r="I672" s="10" t="n">
        <v>46419</v>
      </c>
      <c r="J672" s="11" t="n"/>
      <c r="K672" s="9" t="inlineStr">
        <is>
          <t>Europe/Paris</t>
        </is>
      </c>
      <c r="L672" s="9" t="inlineStr">
        <is>
          <t>Crans-Montana</t>
        </is>
      </c>
      <c r="M672" s="9" t="inlineStr">
        <is>
          <t>Suisse</t>
        </is>
      </c>
      <c r="N672" s="9" t="inlineStr">
        <is>
          <t>Mixte</t>
        </is>
      </c>
      <c r="O672" s="9" t="inlineStr">
        <is>
          <t>Officiel</t>
        </is>
      </c>
      <c r="P672" s="9" t="inlineStr">
        <is>
          <t>Oui</t>
        </is>
      </c>
      <c r="Q672" s="9" t="inlineStr">
        <is>
          <t>https://www.cransmontana2027.ch/en/competition/race-programme/</t>
        </is>
      </c>
      <c r="R672" s="10" t="n">
        <v>46311</v>
      </c>
      <c r="S672" s="9" t="inlineStr">
        <is>
          <t>Format par équipes mixte</t>
        </is>
      </c>
      <c r="T672" s="9">
        <f>IF(H672="","",IF(MAX(H672,I672)&lt;TODAY(),"Terminé",IF(H672&lt;=TODAY(),"En cours","À venir")))</f>
        <v/>
      </c>
    </row>
    <row r="673">
      <c r="A673" s="9" t="inlineStr">
        <is>
          <t>SKIM-2627-002</t>
        </is>
      </c>
      <c r="B673" s="9" t="inlineStr">
        <is>
          <t>Ski alpin</t>
        </is>
      </c>
      <c r="C673" s="9" t="inlineStr">
        <is>
          <t>Championnats du monde de ski alpin</t>
        </is>
      </c>
      <c r="D673" s="9" t="inlineStr">
        <is>
          <t>2026-2027</t>
        </is>
      </c>
      <c r="E673" s="9" t="inlineStr">
        <is>
          <t>Super-G</t>
        </is>
      </c>
      <c r="F673" s="9" t="n"/>
      <c r="G673" s="9" t="inlineStr">
        <is>
          <t>Crans-Montana – Super-G Femmes</t>
        </is>
      </c>
      <c r="H673" s="10" t="n">
        <v>46422</v>
      </c>
      <c r="I673" s="10" t="n">
        <v>46422</v>
      </c>
      <c r="J673" s="11" t="inlineStr">
        <is>
          <t>11:15</t>
        </is>
      </c>
      <c r="K673" s="9" t="inlineStr">
        <is>
          <t>Europe/Paris</t>
        </is>
      </c>
      <c r="L673" s="9" t="inlineStr">
        <is>
          <t>Crans-Montana</t>
        </is>
      </c>
      <c r="M673" s="9" t="inlineStr">
        <is>
          <t>Suisse</t>
        </is>
      </c>
      <c r="N673" s="9" t="inlineStr">
        <is>
          <t>Femmes</t>
        </is>
      </c>
      <c r="O673" s="9" t="inlineStr">
        <is>
          <t>Officiel</t>
        </is>
      </c>
      <c r="P673" s="9" t="inlineStr">
        <is>
          <t>Oui</t>
        </is>
      </c>
      <c r="Q673" s="9" t="inlineStr">
        <is>
          <t>https://www.cransmontana2027.ch/en/competition/race-programme/</t>
        </is>
      </c>
      <c r="R673" s="10" t="n">
        <v>46311</v>
      </c>
      <c r="S673" s="9" t="n"/>
      <c r="T673" s="9">
        <f>IF(H673="","",IF(MAX(H673,I673)&lt;TODAY(),"Terminé",IF(H673&lt;=TODAY(),"En cours","À venir")))</f>
        <v/>
      </c>
    </row>
    <row r="674">
      <c r="A674" s="9" t="inlineStr">
        <is>
          <t>SKIM-2627-003</t>
        </is>
      </c>
      <c r="B674" s="9" t="inlineStr">
        <is>
          <t>Ski alpin</t>
        </is>
      </c>
      <c r="C674" s="9" t="inlineStr">
        <is>
          <t>Championnats du monde de ski alpin</t>
        </is>
      </c>
      <c r="D674" s="9" t="inlineStr">
        <is>
          <t>2026-2027</t>
        </is>
      </c>
      <c r="E674" s="9" t="inlineStr">
        <is>
          <t>Super-G</t>
        </is>
      </c>
      <c r="F674" s="9" t="n"/>
      <c r="G674" s="9" t="inlineStr">
        <is>
          <t>Crans-Montana – Super-G Hommes</t>
        </is>
      </c>
      <c r="H674" s="10" t="n">
        <v>46423</v>
      </c>
      <c r="I674" s="10" t="n">
        <v>46423</v>
      </c>
      <c r="J674" s="11" t="inlineStr">
        <is>
          <t>11:15</t>
        </is>
      </c>
      <c r="K674" s="9" t="inlineStr">
        <is>
          <t>Europe/Paris</t>
        </is>
      </c>
      <c r="L674" s="9" t="inlineStr">
        <is>
          <t>Crans-Montana</t>
        </is>
      </c>
      <c r="M674" s="9" t="inlineStr">
        <is>
          <t>Suisse</t>
        </is>
      </c>
      <c r="N674" s="9" t="inlineStr">
        <is>
          <t>Hommes</t>
        </is>
      </c>
      <c r="O674" s="9" t="inlineStr">
        <is>
          <t>Officiel</t>
        </is>
      </c>
      <c r="P674" s="9" t="inlineStr">
        <is>
          <t>Oui</t>
        </is>
      </c>
      <c r="Q674" s="9" t="inlineStr">
        <is>
          <t>https://www.cransmontana2027.ch/en/competition/race-programme/</t>
        </is>
      </c>
      <c r="R674" s="10" t="n">
        <v>46311</v>
      </c>
      <c r="S674" s="9" t="n"/>
      <c r="T674" s="9">
        <f>IF(H674="","",IF(MAX(H674,I674)&lt;TODAY(),"Terminé",IF(H674&lt;=TODAY(),"En cours","À venir")))</f>
        <v/>
      </c>
    </row>
    <row r="675">
      <c r="A675" s="9" t="inlineStr">
        <is>
          <t>SKIM-2627-004</t>
        </is>
      </c>
      <c r="B675" s="9" t="inlineStr">
        <is>
          <t>Ski alpin</t>
        </is>
      </c>
      <c r="C675" s="9" t="inlineStr">
        <is>
          <t>Championnats du monde de ski alpin</t>
        </is>
      </c>
      <c r="D675" s="9" t="inlineStr">
        <is>
          <t>2026-2027</t>
        </is>
      </c>
      <c r="E675" s="9" t="inlineStr">
        <is>
          <t>Descente</t>
        </is>
      </c>
      <c r="F675" s="9" t="n"/>
      <c r="G675" s="9" t="inlineStr">
        <is>
          <t>Crans-Montana – Descente Femmes</t>
        </is>
      </c>
      <c r="H675" s="10" t="n">
        <v>46424</v>
      </c>
      <c r="I675" s="10" t="n">
        <v>46424</v>
      </c>
      <c r="J675" s="11" t="inlineStr">
        <is>
          <t>11:15</t>
        </is>
      </c>
      <c r="K675" s="9" t="inlineStr">
        <is>
          <t>Europe/Paris</t>
        </is>
      </c>
      <c r="L675" s="9" t="inlineStr">
        <is>
          <t>Crans-Montana</t>
        </is>
      </c>
      <c r="M675" s="9" t="inlineStr">
        <is>
          <t>Suisse</t>
        </is>
      </c>
      <c r="N675" s="9" t="inlineStr">
        <is>
          <t>Femmes</t>
        </is>
      </c>
      <c r="O675" s="9" t="inlineStr">
        <is>
          <t>Officiel</t>
        </is>
      </c>
      <c r="P675" s="9" t="inlineStr">
        <is>
          <t>Oui</t>
        </is>
      </c>
      <c r="Q675" s="9" t="inlineStr">
        <is>
          <t>https://www.cransmontana2027.ch/en/competition/race-programme/</t>
        </is>
      </c>
      <c r="R675" s="10" t="n">
        <v>46311</v>
      </c>
      <c r="S675" s="9" t="n"/>
      <c r="T675" s="9">
        <f>IF(H675="","",IF(MAX(H675,I675)&lt;TODAY(),"Terminé",IF(H675&lt;=TODAY(),"En cours","À venir")))</f>
        <v/>
      </c>
    </row>
    <row r="676">
      <c r="A676" s="9" t="inlineStr">
        <is>
          <t>SKIM-2627-005</t>
        </is>
      </c>
      <c r="B676" s="9" t="inlineStr">
        <is>
          <t>Ski alpin</t>
        </is>
      </c>
      <c r="C676" s="9" t="inlineStr">
        <is>
          <t>Championnats du monde de ski alpin</t>
        </is>
      </c>
      <c r="D676" s="9" t="inlineStr">
        <is>
          <t>2026-2027</t>
        </is>
      </c>
      <c r="E676" s="9" t="inlineStr">
        <is>
          <t>Descente</t>
        </is>
      </c>
      <c r="F676" s="9" t="n"/>
      <c r="G676" s="9" t="inlineStr">
        <is>
          <t>Crans-Montana – Descente Hommes</t>
        </is>
      </c>
      <c r="H676" s="10" t="n">
        <v>46425</v>
      </c>
      <c r="I676" s="10" t="n">
        <v>46425</v>
      </c>
      <c r="J676" s="11" t="inlineStr">
        <is>
          <t>11:15</t>
        </is>
      </c>
      <c r="K676" s="9" t="inlineStr">
        <is>
          <t>Europe/Paris</t>
        </is>
      </c>
      <c r="L676" s="9" t="inlineStr">
        <is>
          <t>Crans-Montana</t>
        </is>
      </c>
      <c r="M676" s="9" t="inlineStr">
        <is>
          <t>Suisse</t>
        </is>
      </c>
      <c r="N676" s="9" t="inlineStr">
        <is>
          <t>Hommes</t>
        </is>
      </c>
      <c r="O676" s="9" t="inlineStr">
        <is>
          <t>Officiel</t>
        </is>
      </c>
      <c r="P676" s="9" t="inlineStr">
        <is>
          <t>Oui</t>
        </is>
      </c>
      <c r="Q676" s="9" t="inlineStr">
        <is>
          <t>https://www.cransmontana2027.ch/en/competition/race-programme/</t>
        </is>
      </c>
      <c r="R676" s="10" t="n">
        <v>46311</v>
      </c>
      <c r="S676" s="9" t="inlineStr">
        <is>
          <t>Jour de réserve le 8 février</t>
        </is>
      </c>
      <c r="T676" s="9">
        <f>IF(H676="","",IF(MAX(H676,I676)&lt;TODAY(),"Terminé",IF(H676&lt;=TODAY(),"En cours","À venir")))</f>
        <v/>
      </c>
    </row>
    <row r="677">
      <c r="A677" s="9" t="inlineStr">
        <is>
          <t>SKIM-2627-006</t>
        </is>
      </c>
      <c r="B677" s="9" t="inlineStr">
        <is>
          <t>Ski alpin</t>
        </is>
      </c>
      <c r="C677" s="9" t="inlineStr">
        <is>
          <t>Championnats du monde de ski alpin</t>
        </is>
      </c>
      <c r="D677" s="9" t="inlineStr">
        <is>
          <t>2026-2027</t>
        </is>
      </c>
      <c r="E677" s="9" t="inlineStr">
        <is>
          <t>Combiné par équipes</t>
        </is>
      </c>
      <c r="F677" s="9" t="n"/>
      <c r="G677" s="9" t="inlineStr">
        <is>
          <t>Crans-Montana – Combiné par équipes Femmes</t>
        </is>
      </c>
      <c r="H677" s="10" t="n">
        <v>46427</v>
      </c>
      <c r="I677" s="10" t="n">
        <v>46427</v>
      </c>
      <c r="J677" s="11" t="inlineStr">
        <is>
          <t>10:00</t>
        </is>
      </c>
      <c r="K677" s="9" t="inlineStr">
        <is>
          <t>Europe/Paris</t>
        </is>
      </c>
      <c r="L677" s="9" t="inlineStr">
        <is>
          <t>Crans-Montana</t>
        </is>
      </c>
      <c r="M677" s="9" t="inlineStr">
        <is>
          <t>Suisse</t>
        </is>
      </c>
      <c r="N677" s="9" t="inlineStr">
        <is>
          <t>Femmes</t>
        </is>
      </c>
      <c r="O677" s="9" t="inlineStr">
        <is>
          <t>Officiel</t>
        </is>
      </c>
      <c r="P677" s="9" t="inlineStr">
        <is>
          <t>Oui</t>
        </is>
      </c>
      <c r="Q677" s="9" t="inlineStr">
        <is>
          <t>https://www.cransmontana2027.ch/en/competition/race-programme/</t>
        </is>
      </c>
      <c r="R677" s="10" t="n">
        <v>46311</v>
      </c>
      <c r="S677" s="9" t="inlineStr">
        <is>
          <t>Heure de la 1re manche (2e à 13:30)</t>
        </is>
      </c>
      <c r="T677" s="9">
        <f>IF(H677="","",IF(MAX(H677,I677)&lt;TODAY(),"Terminé",IF(H677&lt;=TODAY(),"En cours","À venir")))</f>
        <v/>
      </c>
    </row>
    <row r="678">
      <c r="A678" s="9" t="inlineStr">
        <is>
          <t>SKIM-2627-007</t>
        </is>
      </c>
      <c r="B678" s="9" t="inlineStr">
        <is>
          <t>Ski alpin</t>
        </is>
      </c>
      <c r="C678" s="9" t="inlineStr">
        <is>
          <t>Championnats du monde de ski alpin</t>
        </is>
      </c>
      <c r="D678" s="9" t="inlineStr">
        <is>
          <t>2026-2027</t>
        </is>
      </c>
      <c r="E678" s="9" t="inlineStr">
        <is>
          <t>Combiné par équipes</t>
        </is>
      </c>
      <c r="F678" s="9" t="n"/>
      <c r="G678" s="9" t="inlineStr">
        <is>
          <t>Crans-Montana – Combiné par équipes Hommes</t>
        </is>
      </c>
      <c r="H678" s="10" t="n">
        <v>46428</v>
      </c>
      <c r="I678" s="10" t="n">
        <v>46428</v>
      </c>
      <c r="J678" s="11" t="inlineStr">
        <is>
          <t>10:00</t>
        </is>
      </c>
      <c r="K678" s="9" t="inlineStr">
        <is>
          <t>Europe/Paris</t>
        </is>
      </c>
      <c r="L678" s="9" t="inlineStr">
        <is>
          <t>Crans-Montana</t>
        </is>
      </c>
      <c r="M678" s="9" t="inlineStr">
        <is>
          <t>Suisse</t>
        </is>
      </c>
      <c r="N678" s="9" t="inlineStr">
        <is>
          <t>Hommes</t>
        </is>
      </c>
      <c r="O678" s="9" t="inlineStr">
        <is>
          <t>Officiel</t>
        </is>
      </c>
      <c r="P678" s="9" t="inlineStr">
        <is>
          <t>Oui</t>
        </is>
      </c>
      <c r="Q678" s="9" t="inlineStr">
        <is>
          <t>https://www.cransmontana2027.ch/en/competition/race-programme/</t>
        </is>
      </c>
      <c r="R678" s="10" t="n">
        <v>46311</v>
      </c>
      <c r="S678" s="9" t="inlineStr">
        <is>
          <t>Heure de la 1re manche (2e à 13:30)</t>
        </is>
      </c>
      <c r="T678" s="9">
        <f>IF(H678="","",IF(MAX(H678,I678)&lt;TODAY(),"Terminé",IF(H678&lt;=TODAY(),"En cours","À venir")))</f>
        <v/>
      </c>
    </row>
    <row r="679">
      <c r="A679" s="9" t="inlineStr">
        <is>
          <t>SKIM-2627-008</t>
        </is>
      </c>
      <c r="B679" s="9" t="inlineStr">
        <is>
          <t>Ski alpin</t>
        </is>
      </c>
      <c r="C679" s="9" t="inlineStr">
        <is>
          <t>Championnats du monde de ski alpin</t>
        </is>
      </c>
      <c r="D679" s="9" t="inlineStr">
        <is>
          <t>2026-2027</t>
        </is>
      </c>
      <c r="E679" s="9" t="inlineStr">
        <is>
          <t>Slalom géant</t>
        </is>
      </c>
      <c r="F679" s="9" t="n"/>
      <c r="G679" s="9" t="inlineStr">
        <is>
          <t>Crans-Montana – Slalom géant Femmes</t>
        </is>
      </c>
      <c r="H679" s="10" t="n">
        <v>46429</v>
      </c>
      <c r="I679" s="10" t="n">
        <v>46429</v>
      </c>
      <c r="J679" s="11" t="inlineStr">
        <is>
          <t>10:00</t>
        </is>
      </c>
      <c r="K679" s="9" t="inlineStr">
        <is>
          <t>Europe/Paris</t>
        </is>
      </c>
      <c r="L679" s="9" t="inlineStr">
        <is>
          <t>Crans-Montana</t>
        </is>
      </c>
      <c r="M679" s="9" t="inlineStr">
        <is>
          <t>Suisse</t>
        </is>
      </c>
      <c r="N679" s="9" t="inlineStr">
        <is>
          <t>Femmes</t>
        </is>
      </c>
      <c r="O679" s="9" t="inlineStr">
        <is>
          <t>Officiel</t>
        </is>
      </c>
      <c r="P679" s="9" t="inlineStr">
        <is>
          <t>Oui</t>
        </is>
      </c>
      <c r="Q679" s="9" t="inlineStr">
        <is>
          <t>https://www.cransmontana2027.ch/en/competition/race-programme/</t>
        </is>
      </c>
      <c r="R679" s="10" t="n">
        <v>46311</v>
      </c>
      <c r="S679" s="9" t="inlineStr">
        <is>
          <t>Heure de la 1re manche (2e à 13:30)</t>
        </is>
      </c>
      <c r="T679" s="9">
        <f>IF(H679="","",IF(MAX(H679,I679)&lt;TODAY(),"Terminé",IF(H679&lt;=TODAY(),"En cours","À venir")))</f>
        <v/>
      </c>
    </row>
    <row r="680">
      <c r="A680" s="9" t="inlineStr">
        <is>
          <t>SKIM-2627-009</t>
        </is>
      </c>
      <c r="B680" s="9" t="inlineStr">
        <is>
          <t>Ski alpin</t>
        </is>
      </c>
      <c r="C680" s="9" t="inlineStr">
        <is>
          <t>Championnats du monde de ski alpin</t>
        </is>
      </c>
      <c r="D680" s="9" t="inlineStr">
        <is>
          <t>2026-2027</t>
        </is>
      </c>
      <c r="E680" s="9" t="inlineStr">
        <is>
          <t>Slalom géant</t>
        </is>
      </c>
      <c r="F680" s="9" t="n"/>
      <c r="G680" s="9" t="inlineStr">
        <is>
          <t>Crans-Montana – Slalom géant Hommes</t>
        </is>
      </c>
      <c r="H680" s="10" t="n">
        <v>46430</v>
      </c>
      <c r="I680" s="10" t="n">
        <v>46430</v>
      </c>
      <c r="J680" s="11" t="inlineStr">
        <is>
          <t>10:00</t>
        </is>
      </c>
      <c r="K680" s="9" t="inlineStr">
        <is>
          <t>Europe/Paris</t>
        </is>
      </c>
      <c r="L680" s="9" t="inlineStr">
        <is>
          <t>Crans-Montana</t>
        </is>
      </c>
      <c r="M680" s="9" t="inlineStr">
        <is>
          <t>Suisse</t>
        </is>
      </c>
      <c r="N680" s="9" t="inlineStr">
        <is>
          <t>Hommes</t>
        </is>
      </c>
      <c r="O680" s="9" t="inlineStr">
        <is>
          <t>Officiel</t>
        </is>
      </c>
      <c r="P680" s="9" t="inlineStr">
        <is>
          <t>Oui</t>
        </is>
      </c>
      <c r="Q680" s="9" t="inlineStr">
        <is>
          <t>https://www.cransmontana2027.ch/en/competition/race-programme/</t>
        </is>
      </c>
      <c r="R680" s="10" t="n">
        <v>46311</v>
      </c>
      <c r="S680" s="9" t="inlineStr">
        <is>
          <t>Heure de la 1re manche (2e à 13:30)</t>
        </is>
      </c>
      <c r="T680" s="9">
        <f>IF(H680="","",IF(MAX(H680,I680)&lt;TODAY(),"Terminé",IF(H680&lt;=TODAY(),"En cours","À venir")))</f>
        <v/>
      </c>
    </row>
    <row r="681">
      <c r="A681" s="9" t="inlineStr">
        <is>
          <t>SKIM-2627-010</t>
        </is>
      </c>
      <c r="B681" s="9" t="inlineStr">
        <is>
          <t>Ski alpin</t>
        </is>
      </c>
      <c r="C681" s="9" t="inlineStr">
        <is>
          <t>Championnats du monde de ski alpin</t>
        </is>
      </c>
      <c r="D681" s="9" t="inlineStr">
        <is>
          <t>2026-2027</t>
        </is>
      </c>
      <c r="E681" s="9" t="inlineStr">
        <is>
          <t>Slalom</t>
        </is>
      </c>
      <c r="F681" s="9" t="n"/>
      <c r="G681" s="9" t="inlineStr">
        <is>
          <t>Crans-Montana – Slalom Femmes</t>
        </is>
      </c>
      <c r="H681" s="10" t="n">
        <v>46431</v>
      </c>
      <c r="I681" s="10" t="n">
        <v>46431</v>
      </c>
      <c r="J681" s="11" t="inlineStr">
        <is>
          <t>10:00</t>
        </is>
      </c>
      <c r="K681" s="9" t="inlineStr">
        <is>
          <t>Europe/Paris</t>
        </is>
      </c>
      <c r="L681" s="9" t="inlineStr">
        <is>
          <t>Crans-Montana</t>
        </is>
      </c>
      <c r="M681" s="9" t="inlineStr">
        <is>
          <t>Suisse</t>
        </is>
      </c>
      <c r="N681" s="9" t="inlineStr">
        <is>
          <t>Femmes</t>
        </is>
      </c>
      <c r="O681" s="9" t="inlineStr">
        <is>
          <t>Officiel</t>
        </is>
      </c>
      <c r="P681" s="9" t="inlineStr">
        <is>
          <t>Oui</t>
        </is>
      </c>
      <c r="Q681" s="9" t="inlineStr">
        <is>
          <t>https://www.cransmontana2027.ch/en/competition/race-programme/</t>
        </is>
      </c>
      <c r="R681" s="10" t="n">
        <v>46311</v>
      </c>
      <c r="S681" s="9" t="inlineStr">
        <is>
          <t>Heure de la 1re manche (2e à 13:30)</t>
        </is>
      </c>
      <c r="T681" s="9">
        <f>IF(H681="","",IF(MAX(H681,I681)&lt;TODAY(),"Terminé",IF(H681&lt;=TODAY(),"En cours","À venir")))</f>
        <v/>
      </c>
    </row>
    <row r="682">
      <c r="A682" s="9" t="inlineStr">
        <is>
          <t>SKIM-2627-011</t>
        </is>
      </c>
      <c r="B682" s="9" t="inlineStr">
        <is>
          <t>Ski alpin</t>
        </is>
      </c>
      <c r="C682" s="9" t="inlineStr">
        <is>
          <t>Championnats du monde de ski alpin</t>
        </is>
      </c>
      <c r="D682" s="9" t="inlineStr">
        <is>
          <t>2026-2027</t>
        </is>
      </c>
      <c r="E682" s="9" t="inlineStr">
        <is>
          <t>Slalom</t>
        </is>
      </c>
      <c r="F682" s="9" t="n"/>
      <c r="G682" s="9" t="inlineStr">
        <is>
          <t>Crans-Montana – Slalom Hommes</t>
        </is>
      </c>
      <c r="H682" s="10" t="n">
        <v>46432</v>
      </c>
      <c r="I682" s="10" t="n">
        <v>46432</v>
      </c>
      <c r="J682" s="11" t="inlineStr">
        <is>
          <t>10:00</t>
        </is>
      </c>
      <c r="K682" s="9" t="inlineStr">
        <is>
          <t>Europe/Paris</t>
        </is>
      </c>
      <c r="L682" s="9" t="inlineStr">
        <is>
          <t>Crans-Montana</t>
        </is>
      </c>
      <c r="M682" s="9" t="inlineStr">
        <is>
          <t>Suisse</t>
        </is>
      </c>
      <c r="N682" s="9" t="inlineStr">
        <is>
          <t>Hommes</t>
        </is>
      </c>
      <c r="O682" s="9" t="inlineStr">
        <is>
          <t>Officiel</t>
        </is>
      </c>
      <c r="P682" s="9" t="inlineStr">
        <is>
          <t>Oui</t>
        </is>
      </c>
      <c r="Q682" s="9" t="inlineStr">
        <is>
          <t>https://www.cransmontana2027.ch/en/competition/race-programme/</t>
        </is>
      </c>
      <c r="R682" s="10" t="n">
        <v>46311</v>
      </c>
      <c r="S682" s="9" t="inlineStr">
        <is>
          <t>Heure de la 1re manche (2e à 13:30)</t>
        </is>
      </c>
      <c r="T682" s="9">
        <f>IF(H682="","",IF(MAX(H682,I682)&lt;TODAY(),"Terminé",IF(H682&lt;=TODAY(),"En cours","À venir")))</f>
        <v/>
      </c>
    </row>
    <row r="683">
      <c r="A683" s="9" t="inlineStr">
        <is>
          <t>BIA-2627-001</t>
        </is>
      </c>
      <c r="B683" s="9" t="inlineStr">
        <is>
          <t>Biathlon</t>
        </is>
      </c>
      <c r="C683" s="9" t="inlineStr">
        <is>
          <t>Coupe du monde de biathlon</t>
        </is>
      </c>
      <c r="D683" s="9" t="inlineStr">
        <is>
          <t>2026-2027</t>
        </is>
      </c>
      <c r="E683" s="9" t="inlineStr">
        <is>
          <t>Individuel</t>
        </is>
      </c>
      <c r="F683" s="9" t="inlineStr">
        <is>
          <t>Étape 1</t>
        </is>
      </c>
      <c r="G683" s="9" t="inlineStr">
        <is>
          <t>Kontiolahti – Individuel Hommes</t>
        </is>
      </c>
      <c r="H683" s="10" t="n">
        <v>46352</v>
      </c>
      <c r="I683" s="10" t="n">
        <v>46352</v>
      </c>
      <c r="J683" s="11" t="inlineStr">
        <is>
          <t>16:10</t>
        </is>
      </c>
      <c r="K683" s="9" t="inlineStr">
        <is>
          <t>Europe/Paris</t>
        </is>
      </c>
      <c r="L683" s="9" t="inlineStr">
        <is>
          <t>Kontiolahti</t>
        </is>
      </c>
      <c r="M683" s="9" t="inlineStr">
        <is>
          <t>Finlande</t>
        </is>
      </c>
      <c r="N683" s="9" t="inlineStr">
        <is>
          <t>Hommes</t>
        </is>
      </c>
      <c r="O683" s="9" t="inlineStr">
        <is>
          <t>Officiel</t>
        </is>
      </c>
      <c r="P683" s="9" t="inlineStr">
        <is>
          <t>Oui</t>
        </is>
      </c>
      <c r="Q683" s="9" t="inlineStr">
        <is>
          <t>https://www.cnews.fr/sport/2026-10-08/biathlon-villes-dates-horaires-epreuves-le-calendrier-complet-de-la-coupe-du-monde</t>
        </is>
      </c>
      <c r="R683" s="10" t="n">
        <v>46311</v>
      </c>
      <c r="S683" s="9" t="inlineStr">
        <is>
          <t>Horaire (heure de Paris) issu du programme IBU relayé par la presse</t>
        </is>
      </c>
      <c r="T683" s="9">
        <f>IF(H683="","",IF(MAX(H683,I683)&lt;TODAY(),"Terminé",IF(H683&lt;=TODAY(),"En cours","À venir")))</f>
        <v/>
      </c>
    </row>
    <row r="684">
      <c r="A684" s="9" t="inlineStr">
        <is>
          <t>BIA-2627-002</t>
        </is>
      </c>
      <c r="B684" s="9" t="inlineStr">
        <is>
          <t>Biathlon</t>
        </is>
      </c>
      <c r="C684" s="9" t="inlineStr">
        <is>
          <t>Coupe du monde de biathlon</t>
        </is>
      </c>
      <c r="D684" s="9" t="inlineStr">
        <is>
          <t>2026-2027</t>
        </is>
      </c>
      <c r="E684" s="9" t="inlineStr">
        <is>
          <t>Individuel</t>
        </is>
      </c>
      <c r="F684" s="9" t="inlineStr">
        <is>
          <t>Étape 1</t>
        </is>
      </c>
      <c r="G684" s="9" t="inlineStr">
        <is>
          <t>Kontiolahti – Individuel Femmes</t>
        </is>
      </c>
      <c r="H684" s="10" t="n">
        <v>46353</v>
      </c>
      <c r="I684" s="10" t="n">
        <v>46353</v>
      </c>
      <c r="J684" s="11" t="inlineStr">
        <is>
          <t>16:10</t>
        </is>
      </c>
      <c r="K684" s="9" t="inlineStr">
        <is>
          <t>Europe/Paris</t>
        </is>
      </c>
      <c r="L684" s="9" t="inlineStr">
        <is>
          <t>Kontiolahti</t>
        </is>
      </c>
      <c r="M684" s="9" t="inlineStr">
        <is>
          <t>Finlande</t>
        </is>
      </c>
      <c r="N684" s="9" t="inlineStr">
        <is>
          <t>Femmes</t>
        </is>
      </c>
      <c r="O684" s="9" t="inlineStr">
        <is>
          <t>Officiel</t>
        </is>
      </c>
      <c r="P684" s="9" t="inlineStr">
        <is>
          <t>Oui</t>
        </is>
      </c>
      <c r="Q684" s="9" t="inlineStr">
        <is>
          <t>https://www.cnews.fr/sport/2026-10-08/biathlon-villes-dates-horaires-epreuves-le-calendrier-complet-de-la-coupe-du-monde</t>
        </is>
      </c>
      <c r="R684" s="10" t="n">
        <v>46311</v>
      </c>
      <c r="S684" s="9" t="inlineStr">
        <is>
          <t>Horaire (heure de Paris) issu du programme IBU relayé par la presse</t>
        </is>
      </c>
      <c r="T684" s="9">
        <f>IF(H684="","",IF(MAX(H684,I684)&lt;TODAY(),"Terminé",IF(H684&lt;=TODAY(),"En cours","À venir")))</f>
        <v/>
      </c>
    </row>
    <row r="685">
      <c r="A685" s="9" t="inlineStr">
        <is>
          <t>BIA-2627-003</t>
        </is>
      </c>
      <c r="B685" s="9" t="inlineStr">
        <is>
          <t>Biathlon</t>
        </is>
      </c>
      <c r="C685" s="9" t="inlineStr">
        <is>
          <t>Coupe du monde de biathlon</t>
        </is>
      </c>
      <c r="D685" s="9" t="inlineStr">
        <is>
          <t>2026-2027</t>
        </is>
      </c>
      <c r="E685" s="9" t="inlineStr">
        <is>
          <t>Relais mixte</t>
        </is>
      </c>
      <c r="F685" s="9" t="inlineStr">
        <is>
          <t>Étape 1</t>
        </is>
      </c>
      <c r="G685" s="9" t="inlineStr">
        <is>
          <t>Kontiolahti – Relais mixte Mixte</t>
        </is>
      </c>
      <c r="H685" s="10" t="n">
        <v>46354</v>
      </c>
      <c r="I685" s="10" t="n">
        <v>46354</v>
      </c>
      <c r="J685" s="11" t="inlineStr">
        <is>
          <t>15:15</t>
        </is>
      </c>
      <c r="K685" s="9" t="inlineStr">
        <is>
          <t>Europe/Paris</t>
        </is>
      </c>
      <c r="L685" s="9" t="inlineStr">
        <is>
          <t>Kontiolahti</t>
        </is>
      </c>
      <c r="M685" s="9" t="inlineStr">
        <is>
          <t>Finlande</t>
        </is>
      </c>
      <c r="N685" s="9" t="inlineStr">
        <is>
          <t>Mixte</t>
        </is>
      </c>
      <c r="O685" s="9" t="inlineStr">
        <is>
          <t>Officiel</t>
        </is>
      </c>
      <c r="P685" s="9" t="inlineStr">
        <is>
          <t>Oui</t>
        </is>
      </c>
      <c r="Q685" s="9" t="inlineStr">
        <is>
          <t>https://www.cnews.fr/sport/2026-10-08/biathlon-villes-dates-horaires-epreuves-le-calendrier-complet-de-la-coupe-du-monde</t>
        </is>
      </c>
      <c r="R685" s="10" t="n">
        <v>46311</v>
      </c>
      <c r="S685" s="9" t="inlineStr">
        <is>
          <t>Horaire (heure de Paris) issu du programme IBU relayé par la presse</t>
        </is>
      </c>
      <c r="T685" s="9">
        <f>IF(H685="","",IF(MAX(H685,I685)&lt;TODAY(),"Terminé",IF(H685&lt;=TODAY(),"En cours","À venir")))</f>
        <v/>
      </c>
    </row>
    <row r="686">
      <c r="A686" s="9" t="inlineStr">
        <is>
          <t>BIA-2627-004</t>
        </is>
      </c>
      <c r="B686" s="9" t="inlineStr">
        <is>
          <t>Biathlon</t>
        </is>
      </c>
      <c r="C686" s="9" t="inlineStr">
        <is>
          <t>Coupe du monde de biathlon</t>
        </is>
      </c>
      <c r="D686" s="9" t="inlineStr">
        <is>
          <t>2026-2027</t>
        </is>
      </c>
      <c r="E686" s="9" t="inlineStr">
        <is>
          <t>Single mixed relay</t>
        </is>
      </c>
      <c r="F686" s="9" t="inlineStr">
        <is>
          <t>Étape 1</t>
        </is>
      </c>
      <c r="G686" s="9" t="inlineStr">
        <is>
          <t>Kontiolahti – Single mixed relay Mixte</t>
        </is>
      </c>
      <c r="H686" s="10" t="n">
        <v>46354</v>
      </c>
      <c r="I686" s="10" t="n">
        <v>46354</v>
      </c>
      <c r="J686" s="11" t="inlineStr">
        <is>
          <t>13:10</t>
        </is>
      </c>
      <c r="K686" s="9" t="inlineStr">
        <is>
          <t>Europe/Paris</t>
        </is>
      </c>
      <c r="L686" s="9" t="inlineStr">
        <is>
          <t>Kontiolahti</t>
        </is>
      </c>
      <c r="M686" s="9" t="inlineStr">
        <is>
          <t>Finlande</t>
        </is>
      </c>
      <c r="N686" s="9" t="inlineStr">
        <is>
          <t>Mixte</t>
        </is>
      </c>
      <c r="O686" s="9" t="inlineStr">
        <is>
          <t>Officiel</t>
        </is>
      </c>
      <c r="P686" s="9" t="inlineStr">
        <is>
          <t>Oui</t>
        </is>
      </c>
      <c r="Q686" s="9" t="inlineStr">
        <is>
          <t>https://www.cnews.fr/sport/2026-10-08/biathlon-villes-dates-horaires-epreuves-le-calendrier-complet-de-la-coupe-du-monde</t>
        </is>
      </c>
      <c r="R686" s="10" t="n">
        <v>46311</v>
      </c>
      <c r="S686" s="9" t="inlineStr">
        <is>
          <t>Horaire (heure de Paris) issu du programme IBU relayé par la presse</t>
        </is>
      </c>
      <c r="T686" s="9">
        <f>IF(H686="","",IF(MAX(H686,I686)&lt;TODAY(),"Terminé",IF(H686&lt;=TODAY(),"En cours","À venir")))</f>
        <v/>
      </c>
    </row>
    <row r="687">
      <c r="A687" s="9" t="inlineStr">
        <is>
          <t>BIA-2627-005</t>
        </is>
      </c>
      <c r="B687" s="9" t="inlineStr">
        <is>
          <t>Biathlon</t>
        </is>
      </c>
      <c r="C687" s="9" t="inlineStr">
        <is>
          <t>Coupe du monde de biathlon</t>
        </is>
      </c>
      <c r="D687" s="9" t="inlineStr">
        <is>
          <t>2026-2027</t>
        </is>
      </c>
      <c r="E687" s="9" t="inlineStr">
        <is>
          <t>Sprint</t>
        </is>
      </c>
      <c r="F687" s="9" t="inlineStr">
        <is>
          <t>Étape 1</t>
        </is>
      </c>
      <c r="G687" s="9" t="inlineStr">
        <is>
          <t>Kontiolahti – Sprint Femmes</t>
        </is>
      </c>
      <c r="H687" s="10" t="n">
        <v>46355</v>
      </c>
      <c r="I687" s="10" t="n">
        <v>46355</v>
      </c>
      <c r="J687" s="11" t="inlineStr">
        <is>
          <t>16:15</t>
        </is>
      </c>
      <c r="K687" s="9" t="inlineStr">
        <is>
          <t>Europe/Paris</t>
        </is>
      </c>
      <c r="L687" s="9" t="inlineStr">
        <is>
          <t>Kontiolahti</t>
        </is>
      </c>
      <c r="M687" s="9" t="inlineStr">
        <is>
          <t>Finlande</t>
        </is>
      </c>
      <c r="N687" s="9" t="inlineStr">
        <is>
          <t>Femmes</t>
        </is>
      </c>
      <c r="O687" s="9" t="inlineStr">
        <is>
          <t>Officiel</t>
        </is>
      </c>
      <c r="P687" s="9" t="inlineStr">
        <is>
          <t>Oui</t>
        </is>
      </c>
      <c r="Q687" s="9" t="inlineStr">
        <is>
          <t>https://www.cnews.fr/sport/2026-10-08/biathlon-villes-dates-horaires-epreuves-le-calendrier-complet-de-la-coupe-du-monde</t>
        </is>
      </c>
      <c r="R687" s="10" t="n">
        <v>46311</v>
      </c>
      <c r="S687" s="9" t="inlineStr">
        <is>
          <t>Horaire (heure de Paris) issu du programme IBU relayé par la presse</t>
        </is>
      </c>
      <c r="T687" s="9">
        <f>IF(H687="","",IF(MAX(H687,I687)&lt;TODAY(),"Terminé",IF(H687&lt;=TODAY(),"En cours","À venir")))</f>
        <v/>
      </c>
    </row>
    <row r="688">
      <c r="A688" s="9" t="inlineStr">
        <is>
          <t>BIA-2627-006</t>
        </is>
      </c>
      <c r="B688" s="9" t="inlineStr">
        <is>
          <t>Biathlon</t>
        </is>
      </c>
      <c r="C688" s="9" t="inlineStr">
        <is>
          <t>Coupe du monde de biathlon</t>
        </is>
      </c>
      <c r="D688" s="9" t="inlineStr">
        <is>
          <t>2026-2027</t>
        </is>
      </c>
      <c r="E688" s="9" t="inlineStr">
        <is>
          <t>Sprint</t>
        </is>
      </c>
      <c r="F688" s="9" t="inlineStr">
        <is>
          <t>Étape 1</t>
        </is>
      </c>
      <c r="G688" s="9" t="inlineStr">
        <is>
          <t>Kontiolahti – Sprint Hommes</t>
        </is>
      </c>
      <c r="H688" s="10" t="n">
        <v>46355</v>
      </c>
      <c r="I688" s="10" t="n">
        <v>46355</v>
      </c>
      <c r="J688" s="11" t="inlineStr">
        <is>
          <t>13:00</t>
        </is>
      </c>
      <c r="K688" s="9" t="inlineStr">
        <is>
          <t>Europe/Paris</t>
        </is>
      </c>
      <c r="L688" s="9" t="inlineStr">
        <is>
          <t>Kontiolahti</t>
        </is>
      </c>
      <c r="M688" s="9" t="inlineStr">
        <is>
          <t>Finlande</t>
        </is>
      </c>
      <c r="N688" s="9" t="inlineStr">
        <is>
          <t>Hommes</t>
        </is>
      </c>
      <c r="O688" s="9" t="inlineStr">
        <is>
          <t>Officiel</t>
        </is>
      </c>
      <c r="P688" s="9" t="inlineStr">
        <is>
          <t>Oui</t>
        </is>
      </c>
      <c r="Q688" s="9" t="inlineStr">
        <is>
          <t>https://www.cnews.fr/sport/2026-10-08/biathlon-villes-dates-horaires-epreuves-le-calendrier-complet-de-la-coupe-du-monde</t>
        </is>
      </c>
      <c r="R688" s="10" t="n">
        <v>46311</v>
      </c>
      <c r="S688" s="9" t="inlineStr">
        <is>
          <t>Horaire (heure de Paris) issu du programme IBU relayé par la presse</t>
        </is>
      </c>
      <c r="T688" s="9">
        <f>IF(H688="","",IF(MAX(H688,I688)&lt;TODAY(),"Terminé",IF(H688&lt;=TODAY(),"En cours","À venir")))</f>
        <v/>
      </c>
    </row>
    <row r="689">
      <c r="A689" s="9" t="inlineStr">
        <is>
          <t>BIA-2627-007</t>
        </is>
      </c>
      <c r="B689" s="9" t="inlineStr">
        <is>
          <t>Biathlon</t>
        </is>
      </c>
      <c r="C689" s="9" t="inlineStr">
        <is>
          <t>Coupe du monde de biathlon</t>
        </is>
      </c>
      <c r="D689" s="9" t="inlineStr">
        <is>
          <t>2026-2027</t>
        </is>
      </c>
      <c r="E689" s="9" t="inlineStr">
        <is>
          <t>Sprint</t>
        </is>
      </c>
      <c r="F689" s="9" t="inlineStr">
        <is>
          <t>Étape 2</t>
        </is>
      </c>
      <c r="G689" s="9" t="inlineStr">
        <is>
          <t>Hochfilzen – Sprint Femmes</t>
        </is>
      </c>
      <c r="H689" s="10" t="n">
        <v>46360</v>
      </c>
      <c r="I689" s="10" t="n">
        <v>46360</v>
      </c>
      <c r="J689" s="11" t="inlineStr">
        <is>
          <t>11:25</t>
        </is>
      </c>
      <c r="K689" s="9" t="inlineStr">
        <is>
          <t>Europe/Paris</t>
        </is>
      </c>
      <c r="L689" s="9" t="inlineStr">
        <is>
          <t>Hochfilzen</t>
        </is>
      </c>
      <c r="M689" s="9" t="inlineStr">
        <is>
          <t>Autriche</t>
        </is>
      </c>
      <c r="N689" s="9" t="inlineStr">
        <is>
          <t>Femmes</t>
        </is>
      </c>
      <c r="O689" s="9" t="inlineStr">
        <is>
          <t>Officiel</t>
        </is>
      </c>
      <c r="P689" s="9" t="inlineStr">
        <is>
          <t>Oui</t>
        </is>
      </c>
      <c r="Q689" s="9" t="inlineStr">
        <is>
          <t>https://www.snow-online.com/skimag/ibu-world-cup-biathlon-schedule-dates-and-venues.htm</t>
        </is>
      </c>
      <c r="R689" s="10" t="n">
        <v>46311</v>
      </c>
      <c r="S689" s="9" t="inlineStr">
        <is>
          <t>Horaire (heure de Paris) issu du programme IBU relayé par la presse</t>
        </is>
      </c>
      <c r="T689" s="9">
        <f>IF(H689="","",IF(MAX(H689,I689)&lt;TODAY(),"Terminé",IF(H689&lt;=TODAY(),"En cours","À venir")))</f>
        <v/>
      </c>
    </row>
    <row r="690">
      <c r="A690" s="9" t="inlineStr">
        <is>
          <t>BIA-2627-008</t>
        </is>
      </c>
      <c r="B690" s="9" t="inlineStr">
        <is>
          <t>Biathlon</t>
        </is>
      </c>
      <c r="C690" s="9" t="inlineStr">
        <is>
          <t>Coupe du monde de biathlon</t>
        </is>
      </c>
      <c r="D690" s="9" t="inlineStr">
        <is>
          <t>2026-2027</t>
        </is>
      </c>
      <c r="E690" s="9" t="inlineStr">
        <is>
          <t>Sprint</t>
        </is>
      </c>
      <c r="F690" s="9" t="inlineStr">
        <is>
          <t>Étape 2</t>
        </is>
      </c>
      <c r="G690" s="9" t="inlineStr">
        <is>
          <t>Hochfilzen – Sprint Hommes</t>
        </is>
      </c>
      <c r="H690" s="10" t="n">
        <v>46360</v>
      </c>
      <c r="I690" s="10" t="n">
        <v>46360</v>
      </c>
      <c r="J690" s="11" t="inlineStr">
        <is>
          <t>14:15</t>
        </is>
      </c>
      <c r="K690" s="9" t="inlineStr">
        <is>
          <t>Europe/Paris</t>
        </is>
      </c>
      <c r="L690" s="9" t="inlineStr">
        <is>
          <t>Hochfilzen</t>
        </is>
      </c>
      <c r="M690" s="9" t="inlineStr">
        <is>
          <t>Autriche</t>
        </is>
      </c>
      <c r="N690" s="9" t="inlineStr">
        <is>
          <t>Hommes</t>
        </is>
      </c>
      <c r="O690" s="9" t="inlineStr">
        <is>
          <t>Officiel</t>
        </is>
      </c>
      <c r="P690" s="9" t="inlineStr">
        <is>
          <t>Oui</t>
        </is>
      </c>
      <c r="Q690" s="9" t="inlineStr">
        <is>
          <t>https://www.snow-online.com/skimag/ibu-world-cup-biathlon-schedule-dates-and-venues.htm</t>
        </is>
      </c>
      <c r="R690" s="10" t="n">
        <v>46311</v>
      </c>
      <c r="S690" s="9" t="inlineStr">
        <is>
          <t>Horaire (heure de Paris) issu du programme IBU relayé par la presse</t>
        </is>
      </c>
      <c r="T690" s="9">
        <f>IF(H690="","",IF(MAX(H690,I690)&lt;TODAY(),"Terminé",IF(H690&lt;=TODAY(),"En cours","À venir")))</f>
        <v/>
      </c>
    </row>
    <row r="691">
      <c r="A691" s="9" t="inlineStr">
        <is>
          <t>BIA-2627-009</t>
        </is>
      </c>
      <c r="B691" s="9" t="inlineStr">
        <is>
          <t>Biathlon</t>
        </is>
      </c>
      <c r="C691" s="9" t="inlineStr">
        <is>
          <t>Coupe du monde de biathlon</t>
        </is>
      </c>
      <c r="D691" s="9" t="inlineStr">
        <is>
          <t>2026-2027</t>
        </is>
      </c>
      <c r="E691" s="9" t="inlineStr">
        <is>
          <t>Poursuite</t>
        </is>
      </c>
      <c r="F691" s="9" t="inlineStr">
        <is>
          <t>Étape 2</t>
        </is>
      </c>
      <c r="G691" s="9" t="inlineStr">
        <is>
          <t>Hochfilzen – Poursuite Femmes</t>
        </is>
      </c>
      <c r="H691" s="10" t="n">
        <v>46361</v>
      </c>
      <c r="I691" s="10" t="n">
        <v>46361</v>
      </c>
      <c r="J691" s="11" t="inlineStr">
        <is>
          <t>12:15</t>
        </is>
      </c>
      <c r="K691" s="9" t="inlineStr">
        <is>
          <t>Europe/Paris</t>
        </is>
      </c>
      <c r="L691" s="9" t="inlineStr">
        <is>
          <t>Hochfilzen</t>
        </is>
      </c>
      <c r="M691" s="9" t="inlineStr">
        <is>
          <t>Autriche</t>
        </is>
      </c>
      <c r="N691" s="9" t="inlineStr">
        <is>
          <t>Femmes</t>
        </is>
      </c>
      <c r="O691" s="9" t="inlineStr">
        <is>
          <t>Officiel</t>
        </is>
      </c>
      <c r="P691" s="9" t="inlineStr">
        <is>
          <t>Oui</t>
        </is>
      </c>
      <c r="Q691" s="9" t="inlineStr">
        <is>
          <t>https://www.snow-online.com/skimag/ibu-world-cup-biathlon-schedule-dates-and-venues.htm</t>
        </is>
      </c>
      <c r="R691" s="10" t="n">
        <v>46311</v>
      </c>
      <c r="S691" s="9" t="inlineStr">
        <is>
          <t>Horaire (heure de Paris) issu du programme IBU relayé par la presse</t>
        </is>
      </c>
      <c r="T691" s="9">
        <f>IF(H691="","",IF(MAX(H691,I691)&lt;TODAY(),"Terminé",IF(H691&lt;=TODAY(),"En cours","À venir")))</f>
        <v/>
      </c>
    </row>
    <row r="692">
      <c r="A692" s="9" t="inlineStr">
        <is>
          <t>BIA-2627-010</t>
        </is>
      </c>
      <c r="B692" s="9" t="inlineStr">
        <is>
          <t>Biathlon</t>
        </is>
      </c>
      <c r="C692" s="9" t="inlineStr">
        <is>
          <t>Coupe du monde de biathlon</t>
        </is>
      </c>
      <c r="D692" s="9" t="inlineStr">
        <is>
          <t>2026-2027</t>
        </is>
      </c>
      <c r="E692" s="9" t="inlineStr">
        <is>
          <t>Poursuite</t>
        </is>
      </c>
      <c r="F692" s="9" t="inlineStr">
        <is>
          <t>Étape 2</t>
        </is>
      </c>
      <c r="G692" s="9" t="inlineStr">
        <is>
          <t>Hochfilzen – Poursuite Hommes</t>
        </is>
      </c>
      <c r="H692" s="10" t="n">
        <v>46361</v>
      </c>
      <c r="I692" s="10" t="n">
        <v>46361</v>
      </c>
      <c r="J692" s="11" t="inlineStr">
        <is>
          <t>14:30</t>
        </is>
      </c>
      <c r="K692" s="9" t="inlineStr">
        <is>
          <t>Europe/Paris</t>
        </is>
      </c>
      <c r="L692" s="9" t="inlineStr">
        <is>
          <t>Hochfilzen</t>
        </is>
      </c>
      <c r="M692" s="9" t="inlineStr">
        <is>
          <t>Autriche</t>
        </is>
      </c>
      <c r="N692" s="9" t="inlineStr">
        <is>
          <t>Hommes</t>
        </is>
      </c>
      <c r="O692" s="9" t="inlineStr">
        <is>
          <t>Officiel</t>
        </is>
      </c>
      <c r="P692" s="9" t="inlineStr">
        <is>
          <t>Oui</t>
        </is>
      </c>
      <c r="Q692" s="9" t="inlineStr">
        <is>
          <t>https://www.snow-online.com/skimag/ibu-world-cup-biathlon-schedule-dates-and-venues.htm</t>
        </is>
      </c>
      <c r="R692" s="10" t="n">
        <v>46311</v>
      </c>
      <c r="S692" s="9" t="inlineStr">
        <is>
          <t>Horaire (heure de Paris) issu du programme IBU relayé par la presse</t>
        </is>
      </c>
      <c r="T692" s="9">
        <f>IF(H692="","",IF(MAX(H692,I692)&lt;TODAY(),"Terminé",IF(H692&lt;=TODAY(),"En cours","À venir")))</f>
        <v/>
      </c>
    </row>
    <row r="693">
      <c r="A693" s="9" t="inlineStr">
        <is>
          <t>BIA-2627-011</t>
        </is>
      </c>
      <c r="B693" s="9" t="inlineStr">
        <is>
          <t>Biathlon</t>
        </is>
      </c>
      <c r="C693" s="9" t="inlineStr">
        <is>
          <t>Coupe du monde de biathlon</t>
        </is>
      </c>
      <c r="D693" s="9" t="inlineStr">
        <is>
          <t>2026-2027</t>
        </is>
      </c>
      <c r="E693" s="9" t="inlineStr">
        <is>
          <t>Relais</t>
        </is>
      </c>
      <c r="F693" s="9" t="inlineStr">
        <is>
          <t>Étape 2</t>
        </is>
      </c>
      <c r="G693" s="9" t="inlineStr">
        <is>
          <t>Hochfilzen – Relais Femmes</t>
        </is>
      </c>
      <c r="H693" s="10" t="n">
        <v>46362</v>
      </c>
      <c r="I693" s="10" t="n">
        <v>46362</v>
      </c>
      <c r="J693" s="11" t="inlineStr">
        <is>
          <t>11:30</t>
        </is>
      </c>
      <c r="K693" s="9" t="inlineStr">
        <is>
          <t>Europe/Paris</t>
        </is>
      </c>
      <c r="L693" s="9" t="inlineStr">
        <is>
          <t>Hochfilzen</t>
        </is>
      </c>
      <c r="M693" s="9" t="inlineStr">
        <is>
          <t>Autriche</t>
        </is>
      </c>
      <c r="N693" s="9" t="inlineStr">
        <is>
          <t>Femmes</t>
        </is>
      </c>
      <c r="O693" s="9" t="inlineStr">
        <is>
          <t>Officiel</t>
        </is>
      </c>
      <c r="P693" s="9" t="inlineStr">
        <is>
          <t>Oui</t>
        </is>
      </c>
      <c r="Q693" s="9" t="inlineStr">
        <is>
          <t>https://www.snow-online.com/skimag/ibu-world-cup-biathlon-schedule-dates-and-venues.htm</t>
        </is>
      </c>
      <c r="R693" s="10" t="n">
        <v>46311</v>
      </c>
      <c r="S693" s="9" t="inlineStr">
        <is>
          <t>Horaire (heure de Paris) issu du programme IBU relayé par la presse</t>
        </is>
      </c>
      <c r="T693" s="9">
        <f>IF(H693="","",IF(MAX(H693,I693)&lt;TODAY(),"Terminé",IF(H693&lt;=TODAY(),"En cours","À venir")))</f>
        <v/>
      </c>
    </row>
    <row r="694">
      <c r="A694" s="9" t="inlineStr">
        <is>
          <t>BIA-2627-012</t>
        </is>
      </c>
      <c r="B694" s="9" t="inlineStr">
        <is>
          <t>Biathlon</t>
        </is>
      </c>
      <c r="C694" s="9" t="inlineStr">
        <is>
          <t>Coupe du monde de biathlon</t>
        </is>
      </c>
      <c r="D694" s="9" t="inlineStr">
        <is>
          <t>2026-2027</t>
        </is>
      </c>
      <c r="E694" s="9" t="inlineStr">
        <is>
          <t>Relais</t>
        </is>
      </c>
      <c r="F694" s="9" t="inlineStr">
        <is>
          <t>Étape 2</t>
        </is>
      </c>
      <c r="G694" s="9" t="inlineStr">
        <is>
          <t>Hochfilzen – Relais Hommes</t>
        </is>
      </c>
      <c r="H694" s="10" t="n">
        <v>46362</v>
      </c>
      <c r="I694" s="10" t="n">
        <v>46362</v>
      </c>
      <c r="J694" s="11" t="inlineStr">
        <is>
          <t>14:15</t>
        </is>
      </c>
      <c r="K694" s="9" t="inlineStr">
        <is>
          <t>Europe/Paris</t>
        </is>
      </c>
      <c r="L694" s="9" t="inlineStr">
        <is>
          <t>Hochfilzen</t>
        </is>
      </c>
      <c r="M694" s="9" t="inlineStr">
        <is>
          <t>Autriche</t>
        </is>
      </c>
      <c r="N694" s="9" t="inlineStr">
        <is>
          <t>Hommes</t>
        </is>
      </c>
      <c r="O694" s="9" t="inlineStr">
        <is>
          <t>Officiel</t>
        </is>
      </c>
      <c r="P694" s="9" t="inlineStr">
        <is>
          <t>Oui</t>
        </is>
      </c>
      <c r="Q694" s="9" t="inlineStr">
        <is>
          <t>https://www.snow-online.com/skimag/ibu-world-cup-biathlon-schedule-dates-and-venues.htm</t>
        </is>
      </c>
      <c r="R694" s="10" t="n">
        <v>46311</v>
      </c>
      <c r="S694" s="9" t="inlineStr">
        <is>
          <t>Horaire (heure de Paris) issu du programme IBU relayé par la presse</t>
        </is>
      </c>
      <c r="T694" s="9">
        <f>IF(H694="","",IF(MAX(H694,I694)&lt;TODAY(),"Terminé",IF(H694&lt;=TODAY(),"En cours","À venir")))</f>
        <v/>
      </c>
    </row>
    <row r="695">
      <c r="A695" s="9" t="inlineStr">
        <is>
          <t>BIA-2627-013</t>
        </is>
      </c>
      <c r="B695" s="9" t="inlineStr">
        <is>
          <t>Biathlon</t>
        </is>
      </c>
      <c r="C695" s="9" t="inlineStr">
        <is>
          <t>Coupe du monde de biathlon</t>
        </is>
      </c>
      <c r="D695" s="9" t="inlineStr">
        <is>
          <t>2026-2027</t>
        </is>
      </c>
      <c r="E695" s="9" t="inlineStr">
        <is>
          <t>Sprint</t>
        </is>
      </c>
      <c r="F695" s="9" t="inlineStr">
        <is>
          <t>Étape 3</t>
        </is>
      </c>
      <c r="G695" s="9" t="inlineStr">
        <is>
          <t>Annecy-Le Grand-Bornand – Sprint Femmes</t>
        </is>
      </c>
      <c r="H695" s="10" t="n">
        <v>46366</v>
      </c>
      <c r="I695" s="10" t="n">
        <v>46366</v>
      </c>
      <c r="J695" s="11" t="inlineStr">
        <is>
          <t>14:15</t>
        </is>
      </c>
      <c r="K695" s="9" t="inlineStr">
        <is>
          <t>Europe/Paris</t>
        </is>
      </c>
      <c r="L695" s="9" t="inlineStr">
        <is>
          <t>Annecy-Le Grand-Bornand</t>
        </is>
      </c>
      <c r="M695" s="9" t="inlineStr">
        <is>
          <t>France</t>
        </is>
      </c>
      <c r="N695" s="9" t="inlineStr">
        <is>
          <t>Femmes</t>
        </is>
      </c>
      <c r="O695" s="9" t="inlineStr">
        <is>
          <t>Officiel</t>
        </is>
      </c>
      <c r="P695" s="9" t="inlineStr">
        <is>
          <t>Oui</t>
        </is>
      </c>
      <c r="Q695" s="9" t="inlineStr">
        <is>
          <t>https://www.snow-online.com/skimag/ibu-world-cup-biathlon-schedule-dates-and-venues.htm</t>
        </is>
      </c>
      <c r="R695" s="10" t="n">
        <v>46311</v>
      </c>
      <c r="S695" s="9" t="inlineStr">
        <is>
          <t>Horaire (heure de Paris) issu du programme IBU relayé par la presse</t>
        </is>
      </c>
      <c r="T695" s="9">
        <f>IF(H695="","",IF(MAX(H695,I695)&lt;TODAY(),"Terminé",IF(H695&lt;=TODAY(),"En cours","À venir")))</f>
        <v/>
      </c>
    </row>
    <row r="696">
      <c r="A696" s="9" t="inlineStr">
        <is>
          <t>BIA-2627-014</t>
        </is>
      </c>
      <c r="B696" s="9" t="inlineStr">
        <is>
          <t>Biathlon</t>
        </is>
      </c>
      <c r="C696" s="9" t="inlineStr">
        <is>
          <t>Coupe du monde de biathlon</t>
        </is>
      </c>
      <c r="D696" s="9" t="inlineStr">
        <is>
          <t>2026-2027</t>
        </is>
      </c>
      <c r="E696" s="9" t="inlineStr">
        <is>
          <t>Sprint</t>
        </is>
      </c>
      <c r="F696" s="9" t="inlineStr">
        <is>
          <t>Étape 3</t>
        </is>
      </c>
      <c r="G696" s="9" t="inlineStr">
        <is>
          <t>Annecy-Le Grand-Bornand – Sprint Hommes</t>
        </is>
      </c>
      <c r="H696" s="10" t="n">
        <v>46367</v>
      </c>
      <c r="I696" s="10" t="n">
        <v>46367</v>
      </c>
      <c r="J696" s="11" t="inlineStr">
        <is>
          <t>14:15</t>
        </is>
      </c>
      <c r="K696" s="9" t="inlineStr">
        <is>
          <t>Europe/Paris</t>
        </is>
      </c>
      <c r="L696" s="9" t="inlineStr">
        <is>
          <t>Annecy-Le Grand-Bornand</t>
        </is>
      </c>
      <c r="M696" s="9" t="inlineStr">
        <is>
          <t>France</t>
        </is>
      </c>
      <c r="N696" s="9" t="inlineStr">
        <is>
          <t>Hommes</t>
        </is>
      </c>
      <c r="O696" s="9" t="inlineStr">
        <is>
          <t>Officiel</t>
        </is>
      </c>
      <c r="P696" s="9" t="inlineStr">
        <is>
          <t>Oui</t>
        </is>
      </c>
      <c r="Q696" s="9" t="inlineStr">
        <is>
          <t>https://www.snow-online.com/skimag/ibu-world-cup-biathlon-schedule-dates-and-venues.htm</t>
        </is>
      </c>
      <c r="R696" s="10" t="n">
        <v>46311</v>
      </c>
      <c r="S696" s="9" t="inlineStr">
        <is>
          <t>Horaire (heure de Paris) issu du programme IBU relayé par la presse</t>
        </is>
      </c>
      <c r="T696" s="9">
        <f>IF(H696="","",IF(MAX(H696,I696)&lt;TODAY(),"Terminé",IF(H696&lt;=TODAY(),"En cours","À venir")))</f>
        <v/>
      </c>
    </row>
    <row r="697">
      <c r="A697" s="9" t="inlineStr">
        <is>
          <t>BIA-2627-015</t>
        </is>
      </c>
      <c r="B697" s="9" t="inlineStr">
        <is>
          <t>Biathlon</t>
        </is>
      </c>
      <c r="C697" s="9" t="inlineStr">
        <is>
          <t>Coupe du monde de biathlon</t>
        </is>
      </c>
      <c r="D697" s="9" t="inlineStr">
        <is>
          <t>2026-2027</t>
        </is>
      </c>
      <c r="E697" s="9" t="inlineStr">
        <is>
          <t>Poursuite</t>
        </is>
      </c>
      <c r="F697" s="9" t="inlineStr">
        <is>
          <t>Étape 3</t>
        </is>
      </c>
      <c r="G697" s="9" t="inlineStr">
        <is>
          <t>Annecy-Le Grand-Bornand – Poursuite Femmes</t>
        </is>
      </c>
      <c r="H697" s="10" t="n">
        <v>46368</v>
      </c>
      <c r="I697" s="10" t="n">
        <v>46368</v>
      </c>
      <c r="J697" s="11" t="inlineStr">
        <is>
          <t>12:15</t>
        </is>
      </c>
      <c r="K697" s="9" t="inlineStr">
        <is>
          <t>Europe/Paris</t>
        </is>
      </c>
      <c r="L697" s="9" t="inlineStr">
        <is>
          <t>Annecy-Le Grand-Bornand</t>
        </is>
      </c>
      <c r="M697" s="9" t="inlineStr">
        <is>
          <t>France</t>
        </is>
      </c>
      <c r="N697" s="9" t="inlineStr">
        <is>
          <t>Femmes</t>
        </is>
      </c>
      <c r="O697" s="9" t="inlineStr">
        <is>
          <t>Officiel</t>
        </is>
      </c>
      <c r="P697" s="9" t="inlineStr">
        <is>
          <t>Oui</t>
        </is>
      </c>
      <c r="Q697" s="9" t="inlineStr">
        <is>
          <t>https://www.snow-online.com/skimag/ibu-world-cup-biathlon-schedule-dates-and-venues.htm</t>
        </is>
      </c>
      <c r="R697" s="10" t="n">
        <v>46311</v>
      </c>
      <c r="S697" s="9" t="inlineStr">
        <is>
          <t>Horaire (heure de Paris) issu du programme IBU relayé par la presse</t>
        </is>
      </c>
      <c r="T697" s="9">
        <f>IF(H697="","",IF(MAX(H697,I697)&lt;TODAY(),"Terminé",IF(H697&lt;=TODAY(),"En cours","À venir")))</f>
        <v/>
      </c>
    </row>
    <row r="698">
      <c r="A698" s="9" t="inlineStr">
        <is>
          <t>BIA-2627-016</t>
        </is>
      </c>
      <c r="B698" s="9" t="inlineStr">
        <is>
          <t>Biathlon</t>
        </is>
      </c>
      <c r="C698" s="9" t="inlineStr">
        <is>
          <t>Coupe du monde de biathlon</t>
        </is>
      </c>
      <c r="D698" s="9" t="inlineStr">
        <is>
          <t>2026-2027</t>
        </is>
      </c>
      <c r="E698" s="9" t="inlineStr">
        <is>
          <t>Poursuite</t>
        </is>
      </c>
      <c r="F698" s="9" t="inlineStr">
        <is>
          <t>Étape 3</t>
        </is>
      </c>
      <c r="G698" s="9" t="inlineStr">
        <is>
          <t>Annecy-Le Grand-Bornand – Poursuite Hommes</t>
        </is>
      </c>
      <c r="H698" s="10" t="n">
        <v>46368</v>
      </c>
      <c r="I698" s="10" t="n">
        <v>46368</v>
      </c>
      <c r="J698" s="11" t="inlineStr">
        <is>
          <t>14:45</t>
        </is>
      </c>
      <c r="K698" s="9" t="inlineStr">
        <is>
          <t>Europe/Paris</t>
        </is>
      </c>
      <c r="L698" s="9" t="inlineStr">
        <is>
          <t>Annecy-Le Grand-Bornand</t>
        </is>
      </c>
      <c r="M698" s="9" t="inlineStr">
        <is>
          <t>France</t>
        </is>
      </c>
      <c r="N698" s="9" t="inlineStr">
        <is>
          <t>Hommes</t>
        </is>
      </c>
      <c r="O698" s="9" t="inlineStr">
        <is>
          <t>Officiel</t>
        </is>
      </c>
      <c r="P698" s="9" t="inlineStr">
        <is>
          <t>Oui</t>
        </is>
      </c>
      <c r="Q698" s="9" t="inlineStr">
        <is>
          <t>https://www.snow-online.com/skimag/ibu-world-cup-biathlon-schedule-dates-and-venues.htm</t>
        </is>
      </c>
      <c r="R698" s="10" t="n">
        <v>46311</v>
      </c>
      <c r="S698" s="9" t="inlineStr">
        <is>
          <t>Horaire (heure de Paris) issu du programme IBU relayé par la presse</t>
        </is>
      </c>
      <c r="T698" s="9">
        <f>IF(H698="","",IF(MAX(H698,I698)&lt;TODAY(),"Terminé",IF(H698&lt;=TODAY(),"En cours","À venir")))</f>
        <v/>
      </c>
    </row>
    <row r="699">
      <c r="A699" s="9" t="inlineStr">
        <is>
          <t>BIA-2627-017</t>
        </is>
      </c>
      <c r="B699" s="9" t="inlineStr">
        <is>
          <t>Biathlon</t>
        </is>
      </c>
      <c r="C699" s="9" t="inlineStr">
        <is>
          <t>Coupe du monde de biathlon</t>
        </is>
      </c>
      <c r="D699" s="9" t="inlineStr">
        <is>
          <t>2026-2027</t>
        </is>
      </c>
      <c r="E699" s="9" t="inlineStr">
        <is>
          <t>Mass start</t>
        </is>
      </c>
      <c r="F699" s="9" t="inlineStr">
        <is>
          <t>Étape 3</t>
        </is>
      </c>
      <c r="G699" s="9" t="inlineStr">
        <is>
          <t>Annecy-Le Grand-Bornand – Mass start Femmes</t>
        </is>
      </c>
      <c r="H699" s="10" t="n">
        <v>46369</v>
      </c>
      <c r="I699" s="10" t="n">
        <v>46369</v>
      </c>
      <c r="J699" s="11" t="inlineStr">
        <is>
          <t>12:15</t>
        </is>
      </c>
      <c r="K699" s="9" t="inlineStr">
        <is>
          <t>Europe/Paris</t>
        </is>
      </c>
      <c r="L699" s="9" t="inlineStr">
        <is>
          <t>Annecy-Le Grand-Bornand</t>
        </is>
      </c>
      <c r="M699" s="9" t="inlineStr">
        <is>
          <t>France</t>
        </is>
      </c>
      <c r="N699" s="9" t="inlineStr">
        <is>
          <t>Femmes</t>
        </is>
      </c>
      <c r="O699" s="9" t="inlineStr">
        <is>
          <t>Officiel</t>
        </is>
      </c>
      <c r="P699" s="9" t="inlineStr">
        <is>
          <t>Oui</t>
        </is>
      </c>
      <c r="Q699" s="9" t="inlineStr">
        <is>
          <t>https://www.snow-online.com/skimag/ibu-world-cup-biathlon-schedule-dates-and-venues.htm</t>
        </is>
      </c>
      <c r="R699" s="10" t="n">
        <v>46311</v>
      </c>
      <c r="S699" s="9" t="inlineStr">
        <is>
          <t>Horaire (heure de Paris) issu du programme IBU relayé par la presse</t>
        </is>
      </c>
      <c r="T699" s="9">
        <f>IF(H699="","",IF(MAX(H699,I699)&lt;TODAY(),"Terminé",IF(H699&lt;=TODAY(),"En cours","À venir")))</f>
        <v/>
      </c>
    </row>
    <row r="700">
      <c r="A700" s="9" t="inlineStr">
        <is>
          <t>BIA-2627-018</t>
        </is>
      </c>
      <c r="B700" s="9" t="inlineStr">
        <is>
          <t>Biathlon</t>
        </is>
      </c>
      <c r="C700" s="9" t="inlineStr">
        <is>
          <t>Coupe du monde de biathlon</t>
        </is>
      </c>
      <c r="D700" s="9" t="inlineStr">
        <is>
          <t>2026-2027</t>
        </is>
      </c>
      <c r="E700" s="9" t="inlineStr">
        <is>
          <t>Mass start</t>
        </is>
      </c>
      <c r="F700" s="9" t="inlineStr">
        <is>
          <t>Étape 3</t>
        </is>
      </c>
      <c r="G700" s="9" t="inlineStr">
        <is>
          <t>Annecy-Le Grand-Bornand – Mass start Hommes</t>
        </is>
      </c>
      <c r="H700" s="10" t="n">
        <v>46369</v>
      </c>
      <c r="I700" s="10" t="n">
        <v>46369</v>
      </c>
      <c r="J700" s="11" t="inlineStr">
        <is>
          <t>14:45</t>
        </is>
      </c>
      <c r="K700" s="9" t="inlineStr">
        <is>
          <t>Europe/Paris</t>
        </is>
      </c>
      <c r="L700" s="9" t="inlineStr">
        <is>
          <t>Annecy-Le Grand-Bornand</t>
        </is>
      </c>
      <c r="M700" s="9" t="inlineStr">
        <is>
          <t>France</t>
        </is>
      </c>
      <c r="N700" s="9" t="inlineStr">
        <is>
          <t>Hommes</t>
        </is>
      </c>
      <c r="O700" s="9" t="inlineStr">
        <is>
          <t>Officiel</t>
        </is>
      </c>
      <c r="P700" s="9" t="inlineStr">
        <is>
          <t>Oui</t>
        </is>
      </c>
      <c r="Q700" s="9" t="inlineStr">
        <is>
          <t>https://www.snow-online.com/skimag/ibu-world-cup-biathlon-schedule-dates-and-venues.htm</t>
        </is>
      </c>
      <c r="R700" s="10" t="n">
        <v>46311</v>
      </c>
      <c r="S700" s="9" t="inlineStr">
        <is>
          <t>Horaire (heure de Paris) issu du programme IBU relayé par la presse</t>
        </is>
      </c>
      <c r="T700" s="9">
        <f>IF(H700="","",IF(MAX(H700,I700)&lt;TODAY(),"Terminé",IF(H700&lt;=TODAY(),"En cours","À venir")))</f>
        <v/>
      </c>
    </row>
    <row r="701">
      <c r="A701" s="9" t="inlineStr">
        <is>
          <t>BIA-2627-019</t>
        </is>
      </c>
      <c r="B701" s="9" t="inlineStr">
        <is>
          <t>Biathlon</t>
        </is>
      </c>
      <c r="C701" s="9" t="inlineStr">
        <is>
          <t>Coupe du monde de biathlon</t>
        </is>
      </c>
      <c r="D701" s="9" t="inlineStr">
        <is>
          <t>2026-2027</t>
        </is>
      </c>
      <c r="E701" s="9" t="inlineStr">
        <is>
          <t>Sprint</t>
        </is>
      </c>
      <c r="F701" s="9" t="inlineStr">
        <is>
          <t>Étape 4</t>
        </is>
      </c>
      <c r="G701" s="9" t="inlineStr">
        <is>
          <t>Pokljuka – Sprint Femmes</t>
        </is>
      </c>
      <c r="H701" s="10" t="n">
        <v>46389</v>
      </c>
      <c r="I701" s="10" t="n">
        <v>46389</v>
      </c>
      <c r="J701" s="11" t="inlineStr">
        <is>
          <t>14:10</t>
        </is>
      </c>
      <c r="K701" s="9" t="inlineStr">
        <is>
          <t>Europe/Paris</t>
        </is>
      </c>
      <c r="L701" s="9" t="inlineStr">
        <is>
          <t>Pokljuka</t>
        </is>
      </c>
      <c r="M701" s="9" t="inlineStr">
        <is>
          <t>Slovénie</t>
        </is>
      </c>
      <c r="N701" s="9" t="inlineStr">
        <is>
          <t>Femmes</t>
        </is>
      </c>
      <c r="O701" s="9" t="inlineStr">
        <is>
          <t>Officiel</t>
        </is>
      </c>
      <c r="P701" s="9" t="inlineStr">
        <is>
          <t>Oui</t>
        </is>
      </c>
      <c r="Q701" s="9" t="inlineStr">
        <is>
          <t>https://www.snow-online.com/skimag/ibu-world-cup-biathlon-schedule-dates-and-venues.htm</t>
        </is>
      </c>
      <c r="R701" s="10" t="n">
        <v>46311</v>
      </c>
      <c r="S701" s="9" t="inlineStr">
        <is>
          <t>Horaire (heure de Paris) issu du programme IBU relayé par la presse ; nouvelle étape courte (2 jours)</t>
        </is>
      </c>
      <c r="T701" s="9">
        <f>IF(H701="","",IF(MAX(H701,I701)&lt;TODAY(),"Terminé",IF(H701&lt;=TODAY(),"En cours","À venir")))</f>
        <v/>
      </c>
    </row>
    <row r="702">
      <c r="A702" s="9" t="inlineStr">
        <is>
          <t>BIA-2627-020</t>
        </is>
      </c>
      <c r="B702" s="9" t="inlineStr">
        <is>
          <t>Biathlon</t>
        </is>
      </c>
      <c r="C702" s="9" t="inlineStr">
        <is>
          <t>Coupe du monde de biathlon</t>
        </is>
      </c>
      <c r="D702" s="9" t="inlineStr">
        <is>
          <t>2026-2027</t>
        </is>
      </c>
      <c r="E702" s="9" t="inlineStr">
        <is>
          <t>Sprint</t>
        </is>
      </c>
      <c r="F702" s="9" t="inlineStr">
        <is>
          <t>Étape 4</t>
        </is>
      </c>
      <c r="G702" s="9" t="inlineStr">
        <is>
          <t>Pokljuka – Sprint Hommes</t>
        </is>
      </c>
      <c r="H702" s="10" t="n">
        <v>46389</v>
      </c>
      <c r="I702" s="10" t="n">
        <v>46389</v>
      </c>
      <c r="J702" s="11" t="inlineStr">
        <is>
          <t>11:25</t>
        </is>
      </c>
      <c r="K702" s="9" t="inlineStr">
        <is>
          <t>Europe/Paris</t>
        </is>
      </c>
      <c r="L702" s="9" t="inlineStr">
        <is>
          <t>Pokljuka</t>
        </is>
      </c>
      <c r="M702" s="9" t="inlineStr">
        <is>
          <t>Slovénie</t>
        </is>
      </c>
      <c r="N702" s="9" t="inlineStr">
        <is>
          <t>Hommes</t>
        </is>
      </c>
      <c r="O702" s="9" t="inlineStr">
        <is>
          <t>Officiel</t>
        </is>
      </c>
      <c r="P702" s="9" t="inlineStr">
        <is>
          <t>Oui</t>
        </is>
      </c>
      <c r="Q702" s="9" t="inlineStr">
        <is>
          <t>https://www.snow-online.com/skimag/ibu-world-cup-biathlon-schedule-dates-and-venues.htm</t>
        </is>
      </c>
      <c r="R702" s="10" t="n">
        <v>46311</v>
      </c>
      <c r="S702" s="9" t="inlineStr">
        <is>
          <t>Horaire (heure de Paris) issu du programme IBU relayé par la presse ; nouvelle étape courte (2 jours)</t>
        </is>
      </c>
      <c r="T702" s="9">
        <f>IF(H702="","",IF(MAX(H702,I702)&lt;TODAY(),"Terminé",IF(H702&lt;=TODAY(),"En cours","À venir")))</f>
        <v/>
      </c>
    </row>
    <row r="703">
      <c r="A703" s="9" t="inlineStr">
        <is>
          <t>BIA-2627-021</t>
        </is>
      </c>
      <c r="B703" s="9" t="inlineStr">
        <is>
          <t>Biathlon</t>
        </is>
      </c>
      <c r="C703" s="9" t="inlineStr">
        <is>
          <t>Coupe du monde de biathlon</t>
        </is>
      </c>
      <c r="D703" s="9" t="inlineStr">
        <is>
          <t>2026-2027</t>
        </is>
      </c>
      <c r="E703" s="9" t="inlineStr">
        <is>
          <t>Relais</t>
        </is>
      </c>
      <c r="F703" s="9" t="inlineStr">
        <is>
          <t>Étape 4</t>
        </is>
      </c>
      <c r="G703" s="9" t="inlineStr">
        <is>
          <t>Pokljuka – Relais Femmes</t>
        </is>
      </c>
      <c r="H703" s="10" t="n">
        <v>46390</v>
      </c>
      <c r="I703" s="10" t="n">
        <v>46390</v>
      </c>
      <c r="J703" s="11" t="inlineStr">
        <is>
          <t>14:15</t>
        </is>
      </c>
      <c r="K703" s="9" t="inlineStr">
        <is>
          <t>Europe/Paris</t>
        </is>
      </c>
      <c r="L703" s="9" t="inlineStr">
        <is>
          <t>Pokljuka</t>
        </is>
      </c>
      <c r="M703" s="9" t="inlineStr">
        <is>
          <t>Slovénie</t>
        </is>
      </c>
      <c r="N703" s="9" t="inlineStr">
        <is>
          <t>Femmes</t>
        </is>
      </c>
      <c r="O703" s="9" t="inlineStr">
        <is>
          <t>Officiel</t>
        </is>
      </c>
      <c r="P703" s="9" t="inlineStr">
        <is>
          <t>Oui</t>
        </is>
      </c>
      <c r="Q703" s="9" t="inlineStr">
        <is>
          <t>https://www.snow-online.com/skimag/ibu-world-cup-biathlon-schedule-dates-and-venues.htm</t>
        </is>
      </c>
      <c r="R703" s="10" t="n">
        <v>46311</v>
      </c>
      <c r="S703" s="9" t="inlineStr">
        <is>
          <t>Horaire (heure de Paris) issu du programme IBU relayé par la presse ; nouvelle étape courte (2 jours)</t>
        </is>
      </c>
      <c r="T703" s="9">
        <f>IF(H703="","",IF(MAX(H703,I703)&lt;TODAY(),"Terminé",IF(H703&lt;=TODAY(),"En cours","À venir")))</f>
        <v/>
      </c>
    </row>
    <row r="704">
      <c r="A704" s="9" t="inlineStr">
        <is>
          <t>BIA-2627-022</t>
        </is>
      </c>
      <c r="B704" s="9" t="inlineStr">
        <is>
          <t>Biathlon</t>
        </is>
      </c>
      <c r="C704" s="9" t="inlineStr">
        <is>
          <t>Coupe du monde de biathlon</t>
        </is>
      </c>
      <c r="D704" s="9" t="inlineStr">
        <is>
          <t>2026-2027</t>
        </is>
      </c>
      <c r="E704" s="9" t="inlineStr">
        <is>
          <t>Relais</t>
        </is>
      </c>
      <c r="F704" s="9" t="inlineStr">
        <is>
          <t>Étape 4</t>
        </is>
      </c>
      <c r="G704" s="9" t="inlineStr">
        <is>
          <t>Pokljuka – Relais Hommes</t>
        </is>
      </c>
      <c r="H704" s="10" t="n">
        <v>46390</v>
      </c>
      <c r="I704" s="10" t="n">
        <v>46390</v>
      </c>
      <c r="J704" s="11" t="inlineStr">
        <is>
          <t>11:35</t>
        </is>
      </c>
      <c r="K704" s="9" t="inlineStr">
        <is>
          <t>Europe/Paris</t>
        </is>
      </c>
      <c r="L704" s="9" t="inlineStr">
        <is>
          <t>Pokljuka</t>
        </is>
      </c>
      <c r="M704" s="9" t="inlineStr">
        <is>
          <t>Slovénie</t>
        </is>
      </c>
      <c r="N704" s="9" t="inlineStr">
        <is>
          <t>Hommes</t>
        </is>
      </c>
      <c r="O704" s="9" t="inlineStr">
        <is>
          <t>Officiel</t>
        </is>
      </c>
      <c r="P704" s="9" t="inlineStr">
        <is>
          <t>Oui</t>
        </is>
      </c>
      <c r="Q704" s="9" t="inlineStr">
        <is>
          <t>https://www.snow-online.com/skimag/ibu-world-cup-biathlon-schedule-dates-and-venues.htm</t>
        </is>
      </c>
      <c r="R704" s="10" t="n">
        <v>46311</v>
      </c>
      <c r="S704" s="9" t="inlineStr">
        <is>
          <t>Horaire (heure de Paris) issu du programme IBU relayé par la presse ; nouvelle étape courte (2 jours)</t>
        </is>
      </c>
      <c r="T704" s="9">
        <f>IF(H704="","",IF(MAX(H704,I704)&lt;TODAY(),"Terminé",IF(H704&lt;=TODAY(),"En cours","À venir")))</f>
        <v/>
      </c>
    </row>
    <row r="705">
      <c r="A705" s="9" t="inlineStr">
        <is>
          <t>BIA-2627-023</t>
        </is>
      </c>
      <c r="B705" s="9" t="inlineStr">
        <is>
          <t>Biathlon</t>
        </is>
      </c>
      <c r="C705" s="9" t="inlineStr">
        <is>
          <t>Coupe du monde de biathlon</t>
        </is>
      </c>
      <c r="D705" s="9" t="inlineStr">
        <is>
          <t>2026-2027</t>
        </is>
      </c>
      <c r="E705" s="9" t="inlineStr">
        <is>
          <t>Relais</t>
        </is>
      </c>
      <c r="F705" s="9" t="inlineStr">
        <is>
          <t>Étape 5</t>
        </is>
      </c>
      <c r="G705" s="9" t="inlineStr">
        <is>
          <t>Ruhpolding – Relais Femmes</t>
        </is>
      </c>
      <c r="H705" s="10" t="n">
        <v>46393</v>
      </c>
      <c r="I705" s="10" t="n">
        <v>46393</v>
      </c>
      <c r="J705" s="11" t="inlineStr">
        <is>
          <t>14:15</t>
        </is>
      </c>
      <c r="K705" s="9" t="inlineStr">
        <is>
          <t>Europe/Paris</t>
        </is>
      </c>
      <c r="L705" s="9" t="inlineStr">
        <is>
          <t>Ruhpolding</t>
        </is>
      </c>
      <c r="M705" s="9" t="inlineStr">
        <is>
          <t>Allemagne</t>
        </is>
      </c>
      <c r="N705" s="9" t="inlineStr">
        <is>
          <t>Femmes</t>
        </is>
      </c>
      <c r="O705" s="9" t="inlineStr">
        <is>
          <t>Officiel</t>
        </is>
      </c>
      <c r="P705" s="9" t="inlineStr">
        <is>
          <t>Oui</t>
        </is>
      </c>
      <c r="Q705" s="9" t="inlineStr">
        <is>
          <t>https://www.snow-online.com/skimag/ibu-world-cup-biathlon-schedule-dates-and-venues.htm</t>
        </is>
      </c>
      <c r="R705" s="10" t="n">
        <v>46311</v>
      </c>
      <c r="S705" s="9" t="inlineStr">
        <is>
          <t>Horaire (heure de Paris) issu du programme IBU relayé par la presse</t>
        </is>
      </c>
      <c r="T705" s="9">
        <f>IF(H705="","",IF(MAX(H705,I705)&lt;TODAY(),"Terminé",IF(H705&lt;=TODAY(),"En cours","À venir")))</f>
        <v/>
      </c>
    </row>
    <row r="706">
      <c r="A706" s="9" t="inlineStr">
        <is>
          <t>BIA-2627-024</t>
        </is>
      </c>
      <c r="B706" s="9" t="inlineStr">
        <is>
          <t>Biathlon</t>
        </is>
      </c>
      <c r="C706" s="9" t="inlineStr">
        <is>
          <t>Coupe du monde de biathlon</t>
        </is>
      </c>
      <c r="D706" s="9" t="inlineStr">
        <is>
          <t>2026-2027</t>
        </is>
      </c>
      <c r="E706" s="9" t="inlineStr">
        <is>
          <t>Relais</t>
        </is>
      </c>
      <c r="F706" s="9" t="inlineStr">
        <is>
          <t>Étape 5</t>
        </is>
      </c>
      <c r="G706" s="9" t="inlineStr">
        <is>
          <t>Ruhpolding – Relais Hommes</t>
        </is>
      </c>
      <c r="H706" s="10" t="n">
        <v>46394</v>
      </c>
      <c r="I706" s="10" t="n">
        <v>46394</v>
      </c>
      <c r="J706" s="11" t="inlineStr">
        <is>
          <t>14:15</t>
        </is>
      </c>
      <c r="K706" s="9" t="inlineStr">
        <is>
          <t>Europe/Paris</t>
        </is>
      </c>
      <c r="L706" s="9" t="inlineStr">
        <is>
          <t>Ruhpolding</t>
        </is>
      </c>
      <c r="M706" s="9" t="inlineStr">
        <is>
          <t>Allemagne</t>
        </is>
      </c>
      <c r="N706" s="9" t="inlineStr">
        <is>
          <t>Hommes</t>
        </is>
      </c>
      <c r="O706" s="9" t="inlineStr">
        <is>
          <t>Officiel</t>
        </is>
      </c>
      <c r="P706" s="9" t="inlineStr">
        <is>
          <t>Oui</t>
        </is>
      </c>
      <c r="Q706" s="9" t="inlineStr">
        <is>
          <t>https://www.snow-online.com/skimag/ibu-world-cup-biathlon-schedule-dates-and-venues.htm</t>
        </is>
      </c>
      <c r="R706" s="10" t="n">
        <v>46311</v>
      </c>
      <c r="S706" s="9" t="inlineStr">
        <is>
          <t>Horaire (heure de Paris) issu du programme IBU relayé par la presse</t>
        </is>
      </c>
      <c r="T706" s="9">
        <f>IF(H706="","",IF(MAX(H706,I706)&lt;TODAY(),"Terminé",IF(H706&lt;=TODAY(),"En cours","À venir")))</f>
        <v/>
      </c>
    </row>
    <row r="707">
      <c r="A707" s="9" t="inlineStr">
        <is>
          <t>BIA-2627-025</t>
        </is>
      </c>
      <c r="B707" s="9" t="inlineStr">
        <is>
          <t>Biathlon</t>
        </is>
      </c>
      <c r="C707" s="9" t="inlineStr">
        <is>
          <t>Coupe du monde de biathlon</t>
        </is>
      </c>
      <c r="D707" s="9" t="inlineStr">
        <is>
          <t>2026-2027</t>
        </is>
      </c>
      <c r="E707" s="9" t="inlineStr">
        <is>
          <t>Sprint</t>
        </is>
      </c>
      <c r="F707" s="9" t="inlineStr">
        <is>
          <t>Étape 5</t>
        </is>
      </c>
      <c r="G707" s="9" t="inlineStr">
        <is>
          <t>Ruhpolding – Sprint Femmes</t>
        </is>
      </c>
      <c r="H707" s="10" t="n">
        <v>46395</v>
      </c>
      <c r="I707" s="10" t="n">
        <v>46395</v>
      </c>
      <c r="J707" s="11" t="inlineStr">
        <is>
          <t>14:15</t>
        </is>
      </c>
      <c r="K707" s="9" t="inlineStr">
        <is>
          <t>Europe/Paris</t>
        </is>
      </c>
      <c r="L707" s="9" t="inlineStr">
        <is>
          <t>Ruhpolding</t>
        </is>
      </c>
      <c r="M707" s="9" t="inlineStr">
        <is>
          <t>Allemagne</t>
        </is>
      </c>
      <c r="N707" s="9" t="inlineStr">
        <is>
          <t>Femmes</t>
        </is>
      </c>
      <c r="O707" s="9" t="inlineStr">
        <is>
          <t>Officiel</t>
        </is>
      </c>
      <c r="P707" s="9" t="inlineStr">
        <is>
          <t>Oui</t>
        </is>
      </c>
      <c r="Q707" s="9" t="inlineStr">
        <is>
          <t>https://www.snow-online.com/skimag/ibu-world-cup-biathlon-schedule-dates-and-venues.htm</t>
        </is>
      </c>
      <c r="R707" s="10" t="n">
        <v>46311</v>
      </c>
      <c r="S707" s="9" t="inlineStr">
        <is>
          <t>Horaire (heure de Paris) issu du programme IBU relayé par la presse</t>
        </is>
      </c>
      <c r="T707" s="9">
        <f>IF(H707="","",IF(MAX(H707,I707)&lt;TODAY(),"Terminé",IF(H707&lt;=TODAY(),"En cours","À venir")))</f>
        <v/>
      </c>
    </row>
    <row r="708">
      <c r="A708" s="9" t="inlineStr">
        <is>
          <t>BIA-2627-026</t>
        </is>
      </c>
      <c r="B708" s="9" t="inlineStr">
        <is>
          <t>Biathlon</t>
        </is>
      </c>
      <c r="C708" s="9" t="inlineStr">
        <is>
          <t>Coupe du monde de biathlon</t>
        </is>
      </c>
      <c r="D708" s="9" t="inlineStr">
        <is>
          <t>2026-2027</t>
        </is>
      </c>
      <c r="E708" s="9" t="inlineStr">
        <is>
          <t>Sprint</t>
        </is>
      </c>
      <c r="F708" s="9" t="inlineStr">
        <is>
          <t>Étape 5</t>
        </is>
      </c>
      <c r="G708" s="9" t="inlineStr">
        <is>
          <t>Ruhpolding – Sprint Hommes</t>
        </is>
      </c>
      <c r="H708" s="10" t="n">
        <v>46396</v>
      </c>
      <c r="I708" s="10" t="n">
        <v>46396</v>
      </c>
      <c r="J708" s="11" t="inlineStr">
        <is>
          <t>12:00</t>
        </is>
      </c>
      <c r="K708" s="9" t="inlineStr">
        <is>
          <t>Europe/Paris</t>
        </is>
      </c>
      <c r="L708" s="9" t="inlineStr">
        <is>
          <t>Ruhpolding</t>
        </is>
      </c>
      <c r="M708" s="9" t="inlineStr">
        <is>
          <t>Allemagne</t>
        </is>
      </c>
      <c r="N708" s="9" t="inlineStr">
        <is>
          <t>Hommes</t>
        </is>
      </c>
      <c r="O708" s="9" t="inlineStr">
        <is>
          <t>Officiel</t>
        </is>
      </c>
      <c r="P708" s="9" t="inlineStr">
        <is>
          <t>Oui</t>
        </is>
      </c>
      <c r="Q708" s="9" t="inlineStr">
        <is>
          <t>https://www.snow-online.com/skimag/ibu-world-cup-biathlon-schedule-dates-and-venues.htm</t>
        </is>
      </c>
      <c r="R708" s="10" t="n">
        <v>46311</v>
      </c>
      <c r="S708" s="9" t="inlineStr">
        <is>
          <t>Horaire (heure de Paris) issu du programme IBU relayé par la presse</t>
        </is>
      </c>
      <c r="T708" s="9">
        <f>IF(H708="","",IF(MAX(H708,I708)&lt;TODAY(),"Terminé",IF(H708&lt;=TODAY(),"En cours","À venir")))</f>
        <v/>
      </c>
    </row>
    <row r="709">
      <c r="A709" s="9" t="inlineStr">
        <is>
          <t>BIA-2627-027</t>
        </is>
      </c>
      <c r="B709" s="9" t="inlineStr">
        <is>
          <t>Biathlon</t>
        </is>
      </c>
      <c r="C709" s="9" t="inlineStr">
        <is>
          <t>Coupe du monde de biathlon</t>
        </is>
      </c>
      <c r="D709" s="9" t="inlineStr">
        <is>
          <t>2026-2027</t>
        </is>
      </c>
      <c r="E709" s="9" t="inlineStr">
        <is>
          <t>Poursuite</t>
        </is>
      </c>
      <c r="F709" s="9" t="inlineStr">
        <is>
          <t>Étape 5</t>
        </is>
      </c>
      <c r="G709" s="9" t="inlineStr">
        <is>
          <t>Ruhpolding – Poursuite Femmes</t>
        </is>
      </c>
      <c r="H709" s="10" t="n">
        <v>46397</v>
      </c>
      <c r="I709" s="10" t="n">
        <v>46397</v>
      </c>
      <c r="J709" s="11" t="inlineStr">
        <is>
          <t>12:00</t>
        </is>
      </c>
      <c r="K709" s="9" t="inlineStr">
        <is>
          <t>Europe/Paris</t>
        </is>
      </c>
      <c r="L709" s="9" t="inlineStr">
        <is>
          <t>Ruhpolding</t>
        </is>
      </c>
      <c r="M709" s="9" t="inlineStr">
        <is>
          <t>Allemagne</t>
        </is>
      </c>
      <c r="N709" s="9" t="inlineStr">
        <is>
          <t>Femmes</t>
        </is>
      </c>
      <c r="O709" s="9" t="inlineStr">
        <is>
          <t>Officiel</t>
        </is>
      </c>
      <c r="P709" s="9" t="inlineStr">
        <is>
          <t>Oui</t>
        </is>
      </c>
      <c r="Q709" s="9" t="inlineStr">
        <is>
          <t>https://www.snow-online.com/skimag/ibu-world-cup-biathlon-schedule-dates-and-venues.htm</t>
        </is>
      </c>
      <c r="R709" s="10" t="n">
        <v>46311</v>
      </c>
      <c r="S709" s="9" t="inlineStr">
        <is>
          <t>Horaire (heure de Paris) issu du programme IBU relayé par la presse</t>
        </is>
      </c>
      <c r="T709" s="9">
        <f>IF(H709="","",IF(MAX(H709,I709)&lt;TODAY(),"Terminé",IF(H709&lt;=TODAY(),"En cours","À venir")))</f>
        <v/>
      </c>
    </row>
    <row r="710">
      <c r="A710" s="9" t="inlineStr">
        <is>
          <t>BIA-2627-028</t>
        </is>
      </c>
      <c r="B710" s="9" t="inlineStr">
        <is>
          <t>Biathlon</t>
        </is>
      </c>
      <c r="C710" s="9" t="inlineStr">
        <is>
          <t>Coupe du monde de biathlon</t>
        </is>
      </c>
      <c r="D710" s="9" t="inlineStr">
        <is>
          <t>2026-2027</t>
        </is>
      </c>
      <c r="E710" s="9" t="inlineStr">
        <is>
          <t>Poursuite</t>
        </is>
      </c>
      <c r="F710" s="9" t="inlineStr">
        <is>
          <t>Étape 5</t>
        </is>
      </c>
      <c r="G710" s="9" t="inlineStr">
        <is>
          <t>Ruhpolding – Poursuite Hommes</t>
        </is>
      </c>
      <c r="H710" s="10" t="n">
        <v>46397</v>
      </c>
      <c r="I710" s="10" t="n">
        <v>46397</v>
      </c>
      <c r="J710" s="11" t="inlineStr">
        <is>
          <t>14:45</t>
        </is>
      </c>
      <c r="K710" s="9" t="inlineStr">
        <is>
          <t>Europe/Paris</t>
        </is>
      </c>
      <c r="L710" s="9" t="inlineStr">
        <is>
          <t>Ruhpolding</t>
        </is>
      </c>
      <c r="M710" s="9" t="inlineStr">
        <is>
          <t>Allemagne</t>
        </is>
      </c>
      <c r="N710" s="9" t="inlineStr">
        <is>
          <t>Hommes</t>
        </is>
      </c>
      <c r="O710" s="9" t="inlineStr">
        <is>
          <t>Officiel</t>
        </is>
      </c>
      <c r="P710" s="9" t="inlineStr">
        <is>
          <t>Oui</t>
        </is>
      </c>
      <c r="Q710" s="9" t="inlineStr">
        <is>
          <t>https://www.snow-online.com/skimag/ibu-world-cup-biathlon-schedule-dates-and-venues.htm</t>
        </is>
      </c>
      <c r="R710" s="10" t="n">
        <v>46311</v>
      </c>
      <c r="S710" s="9" t="inlineStr">
        <is>
          <t>Horaire (heure de Paris) issu du programme IBU relayé par la presse</t>
        </is>
      </c>
      <c r="T710" s="9">
        <f>IF(H710="","",IF(MAX(H710,I710)&lt;TODAY(),"Terminé",IF(H710&lt;=TODAY(),"En cours","À venir")))</f>
        <v/>
      </c>
    </row>
    <row r="711">
      <c r="A711" s="9" t="inlineStr">
        <is>
          <t>BIA-2627-029</t>
        </is>
      </c>
      <c r="B711" s="9" t="inlineStr">
        <is>
          <t>Biathlon</t>
        </is>
      </c>
      <c r="C711" s="9" t="inlineStr">
        <is>
          <t>Coupe du monde de biathlon</t>
        </is>
      </c>
      <c r="D711" s="9" t="inlineStr">
        <is>
          <t>2026-2027</t>
        </is>
      </c>
      <c r="E711" s="9" t="inlineStr">
        <is>
          <t>Individuel</t>
        </is>
      </c>
      <c r="F711" s="9" t="inlineStr">
        <is>
          <t>Étape 6</t>
        </is>
      </c>
      <c r="G711" s="9" t="inlineStr">
        <is>
          <t>Antholz-Anterselva – Individuel Hommes</t>
        </is>
      </c>
      <c r="H711" s="10" t="n">
        <v>46401</v>
      </c>
      <c r="I711" s="10" t="n">
        <v>46401</v>
      </c>
      <c r="J711" s="11" t="inlineStr">
        <is>
          <t>14:15</t>
        </is>
      </c>
      <c r="K711" s="9" t="inlineStr">
        <is>
          <t>Europe/Paris</t>
        </is>
      </c>
      <c r="L711" s="9" t="inlineStr">
        <is>
          <t>Antholz-Anterselva</t>
        </is>
      </c>
      <c r="M711" s="9" t="inlineStr">
        <is>
          <t>Italie</t>
        </is>
      </c>
      <c r="N711" s="9" t="inlineStr">
        <is>
          <t>Hommes</t>
        </is>
      </c>
      <c r="O711" s="9" t="inlineStr">
        <is>
          <t>Officiel</t>
        </is>
      </c>
      <c r="P711" s="9" t="inlineStr">
        <is>
          <t>Oui</t>
        </is>
      </c>
      <c r="Q711" s="9" t="inlineStr">
        <is>
          <t>https://www.snow-online.com/skimag/ibu-world-cup-biathlon-schedule-dates-and-venues.htm</t>
        </is>
      </c>
      <c r="R711" s="10" t="n">
        <v>46311</v>
      </c>
      <c r="S711" s="9" t="inlineStr">
        <is>
          <t>Horaire (heure de Paris) issu du programme IBU relayé par la presse</t>
        </is>
      </c>
      <c r="T711" s="9">
        <f>IF(H711="","",IF(MAX(H711,I711)&lt;TODAY(),"Terminé",IF(H711&lt;=TODAY(),"En cours","À venir")))</f>
        <v/>
      </c>
    </row>
    <row r="712">
      <c r="A712" s="9" t="inlineStr">
        <is>
          <t>BIA-2627-030</t>
        </is>
      </c>
      <c r="B712" s="9" t="inlineStr">
        <is>
          <t>Biathlon</t>
        </is>
      </c>
      <c r="C712" s="9" t="inlineStr">
        <is>
          <t>Coupe du monde de biathlon</t>
        </is>
      </c>
      <c r="D712" s="9" t="inlineStr">
        <is>
          <t>2026-2027</t>
        </is>
      </c>
      <c r="E712" s="9" t="inlineStr">
        <is>
          <t>Individuel</t>
        </is>
      </c>
      <c r="F712" s="9" t="inlineStr">
        <is>
          <t>Étape 6</t>
        </is>
      </c>
      <c r="G712" s="9" t="inlineStr">
        <is>
          <t>Antholz-Anterselva – Individuel Femmes</t>
        </is>
      </c>
      <c r="H712" s="10" t="n">
        <v>46402</v>
      </c>
      <c r="I712" s="10" t="n">
        <v>46402</v>
      </c>
      <c r="J712" s="11" t="inlineStr">
        <is>
          <t>14:15</t>
        </is>
      </c>
      <c r="K712" s="9" t="inlineStr">
        <is>
          <t>Europe/Paris</t>
        </is>
      </c>
      <c r="L712" s="9" t="inlineStr">
        <is>
          <t>Antholz-Anterselva</t>
        </is>
      </c>
      <c r="M712" s="9" t="inlineStr">
        <is>
          <t>Italie</t>
        </is>
      </c>
      <c r="N712" s="9" t="inlineStr">
        <is>
          <t>Femmes</t>
        </is>
      </c>
      <c r="O712" s="9" t="inlineStr">
        <is>
          <t>Officiel</t>
        </is>
      </c>
      <c r="P712" s="9" t="inlineStr">
        <is>
          <t>Oui</t>
        </is>
      </c>
      <c r="Q712" s="9" t="inlineStr">
        <is>
          <t>https://www.snow-online.com/skimag/ibu-world-cup-biathlon-schedule-dates-and-venues.htm</t>
        </is>
      </c>
      <c r="R712" s="10" t="n">
        <v>46311</v>
      </c>
      <c r="S712" s="9" t="inlineStr">
        <is>
          <t>Horaire (heure de Paris) issu du programme IBU relayé par la presse</t>
        </is>
      </c>
      <c r="T712" s="9">
        <f>IF(H712="","",IF(MAX(H712,I712)&lt;TODAY(),"Terminé",IF(H712&lt;=TODAY(),"En cours","À venir")))</f>
        <v/>
      </c>
    </row>
    <row r="713">
      <c r="A713" s="9" t="inlineStr">
        <is>
          <t>BIA-2627-031</t>
        </is>
      </c>
      <c r="B713" s="9" t="inlineStr">
        <is>
          <t>Biathlon</t>
        </is>
      </c>
      <c r="C713" s="9" t="inlineStr">
        <is>
          <t>Coupe du monde de biathlon</t>
        </is>
      </c>
      <c r="D713" s="9" t="inlineStr">
        <is>
          <t>2026-2027</t>
        </is>
      </c>
      <c r="E713" s="9" t="inlineStr">
        <is>
          <t>Relais mixte</t>
        </is>
      </c>
      <c r="F713" s="9" t="inlineStr">
        <is>
          <t>Étape 6</t>
        </is>
      </c>
      <c r="G713" s="9" t="inlineStr">
        <is>
          <t>Antholz-Anterselva – Relais mixte Mixte</t>
        </is>
      </c>
      <c r="H713" s="10" t="n">
        <v>46403</v>
      </c>
      <c r="I713" s="10" t="n">
        <v>46403</v>
      </c>
      <c r="J713" s="11" t="inlineStr">
        <is>
          <t>14:30</t>
        </is>
      </c>
      <c r="K713" s="9" t="inlineStr">
        <is>
          <t>Europe/Paris</t>
        </is>
      </c>
      <c r="L713" s="9" t="inlineStr">
        <is>
          <t>Antholz-Anterselva</t>
        </is>
      </c>
      <c r="M713" s="9" t="inlineStr">
        <is>
          <t>Italie</t>
        </is>
      </c>
      <c r="N713" s="9" t="inlineStr">
        <is>
          <t>Mixte</t>
        </is>
      </c>
      <c r="O713" s="9" t="inlineStr">
        <is>
          <t>Officiel</t>
        </is>
      </c>
      <c r="P713" s="9" t="inlineStr">
        <is>
          <t>Oui</t>
        </is>
      </c>
      <c r="Q713" s="9" t="inlineStr">
        <is>
          <t>https://www.snow-online.com/skimag/ibu-world-cup-biathlon-schedule-dates-and-venues.htm</t>
        </is>
      </c>
      <c r="R713" s="10" t="n">
        <v>46311</v>
      </c>
      <c r="S713" s="9" t="inlineStr">
        <is>
          <t>Horaire (heure de Paris) issu du programme IBU relayé par la presse</t>
        </is>
      </c>
      <c r="T713" s="9">
        <f>IF(H713="","",IF(MAX(H713,I713)&lt;TODAY(),"Terminé",IF(H713&lt;=TODAY(),"En cours","À venir")))</f>
        <v/>
      </c>
    </row>
    <row r="714">
      <c r="A714" s="9" t="inlineStr">
        <is>
          <t>BIA-2627-032</t>
        </is>
      </c>
      <c r="B714" s="9" t="inlineStr">
        <is>
          <t>Biathlon</t>
        </is>
      </c>
      <c r="C714" s="9" t="inlineStr">
        <is>
          <t>Coupe du monde de biathlon</t>
        </is>
      </c>
      <c r="D714" s="9" t="inlineStr">
        <is>
          <t>2026-2027</t>
        </is>
      </c>
      <c r="E714" s="9" t="inlineStr">
        <is>
          <t>Single mixed relay</t>
        </is>
      </c>
      <c r="F714" s="9" t="inlineStr">
        <is>
          <t>Étape 6</t>
        </is>
      </c>
      <c r="G714" s="9" t="inlineStr">
        <is>
          <t>Antholz-Anterselva – Single mixed relay Mixte</t>
        </is>
      </c>
      <c r="H714" s="10" t="n">
        <v>46403</v>
      </c>
      <c r="I714" s="10" t="n">
        <v>46403</v>
      </c>
      <c r="J714" s="11" t="inlineStr">
        <is>
          <t>11:45</t>
        </is>
      </c>
      <c r="K714" s="9" t="inlineStr">
        <is>
          <t>Europe/Paris</t>
        </is>
      </c>
      <c r="L714" s="9" t="inlineStr">
        <is>
          <t>Antholz-Anterselva</t>
        </is>
      </c>
      <c r="M714" s="9" t="inlineStr">
        <is>
          <t>Italie</t>
        </is>
      </c>
      <c r="N714" s="9" t="inlineStr">
        <is>
          <t>Mixte</t>
        </is>
      </c>
      <c r="O714" s="9" t="inlineStr">
        <is>
          <t>Officiel</t>
        </is>
      </c>
      <c r="P714" s="9" t="inlineStr">
        <is>
          <t>Oui</t>
        </is>
      </c>
      <c r="Q714" s="9" t="inlineStr">
        <is>
          <t>https://www.snow-online.com/skimag/ibu-world-cup-biathlon-schedule-dates-and-venues.htm</t>
        </is>
      </c>
      <c r="R714" s="10" t="n">
        <v>46311</v>
      </c>
      <c r="S714" s="9" t="inlineStr">
        <is>
          <t>Horaire (heure de Paris) issu du programme IBU relayé par la presse</t>
        </is>
      </c>
      <c r="T714" s="9">
        <f>IF(H714="","",IF(MAX(H714,I714)&lt;TODAY(),"Terminé",IF(H714&lt;=TODAY(),"En cours","À venir")))</f>
        <v/>
      </c>
    </row>
    <row r="715">
      <c r="A715" s="9" t="inlineStr">
        <is>
          <t>BIA-2627-033</t>
        </is>
      </c>
      <c r="B715" s="9" t="inlineStr">
        <is>
          <t>Biathlon</t>
        </is>
      </c>
      <c r="C715" s="9" t="inlineStr">
        <is>
          <t>Coupe du monde de biathlon</t>
        </is>
      </c>
      <c r="D715" s="9" t="inlineStr">
        <is>
          <t>2026-2027</t>
        </is>
      </c>
      <c r="E715" s="9" t="inlineStr">
        <is>
          <t>Mass start</t>
        </is>
      </c>
      <c r="F715" s="9" t="inlineStr">
        <is>
          <t>Étape 6</t>
        </is>
      </c>
      <c r="G715" s="9" t="inlineStr">
        <is>
          <t>Antholz-Anterselva – Mass start Femmes</t>
        </is>
      </c>
      <c r="H715" s="10" t="n">
        <v>46404</v>
      </c>
      <c r="I715" s="10" t="n">
        <v>46404</v>
      </c>
      <c r="J715" s="11" t="inlineStr">
        <is>
          <t>15:00</t>
        </is>
      </c>
      <c r="K715" s="9" t="inlineStr">
        <is>
          <t>Europe/Paris</t>
        </is>
      </c>
      <c r="L715" s="9" t="inlineStr">
        <is>
          <t>Antholz-Anterselva</t>
        </is>
      </c>
      <c r="M715" s="9" t="inlineStr">
        <is>
          <t>Italie</t>
        </is>
      </c>
      <c r="N715" s="9" t="inlineStr">
        <is>
          <t>Femmes</t>
        </is>
      </c>
      <c r="O715" s="9" t="inlineStr">
        <is>
          <t>Officiel</t>
        </is>
      </c>
      <c r="P715" s="9" t="inlineStr">
        <is>
          <t>Oui</t>
        </is>
      </c>
      <c r="Q715" s="9" t="inlineStr">
        <is>
          <t>https://www.snow-online.com/skimag/ibu-world-cup-biathlon-schedule-dates-and-venues.htm</t>
        </is>
      </c>
      <c r="R715" s="10" t="n">
        <v>46311</v>
      </c>
      <c r="S715" s="9" t="inlineStr">
        <is>
          <t>Horaire (heure de Paris) issu du programme IBU relayé par la presse</t>
        </is>
      </c>
      <c r="T715" s="9">
        <f>IF(H715="","",IF(MAX(H715,I715)&lt;TODAY(),"Terminé",IF(H715&lt;=TODAY(),"En cours","À venir")))</f>
        <v/>
      </c>
    </row>
    <row r="716">
      <c r="A716" s="9" t="inlineStr">
        <is>
          <t>BIA-2627-034</t>
        </is>
      </c>
      <c r="B716" s="9" t="inlineStr">
        <is>
          <t>Biathlon</t>
        </is>
      </c>
      <c r="C716" s="9" t="inlineStr">
        <is>
          <t>Coupe du monde de biathlon</t>
        </is>
      </c>
      <c r="D716" s="9" t="inlineStr">
        <is>
          <t>2026-2027</t>
        </is>
      </c>
      <c r="E716" s="9" t="inlineStr">
        <is>
          <t>Mass start</t>
        </is>
      </c>
      <c r="F716" s="9" t="inlineStr">
        <is>
          <t>Étape 6</t>
        </is>
      </c>
      <c r="G716" s="9" t="inlineStr">
        <is>
          <t>Antholz-Anterselva – Mass start Hommes</t>
        </is>
      </c>
      <c r="H716" s="10" t="n">
        <v>46404</v>
      </c>
      <c r="I716" s="10" t="n">
        <v>46404</v>
      </c>
      <c r="J716" s="11" t="inlineStr">
        <is>
          <t>12:45</t>
        </is>
      </c>
      <c r="K716" s="9" t="inlineStr">
        <is>
          <t>Europe/Paris</t>
        </is>
      </c>
      <c r="L716" s="9" t="inlineStr">
        <is>
          <t>Antholz-Anterselva</t>
        </is>
      </c>
      <c r="M716" s="9" t="inlineStr">
        <is>
          <t>Italie</t>
        </is>
      </c>
      <c r="N716" s="9" t="inlineStr">
        <is>
          <t>Hommes</t>
        </is>
      </c>
      <c r="O716" s="9" t="inlineStr">
        <is>
          <t>Officiel</t>
        </is>
      </c>
      <c r="P716" s="9" t="inlineStr">
        <is>
          <t>Oui</t>
        </is>
      </c>
      <c r="Q716" s="9" t="inlineStr">
        <is>
          <t>https://www.snow-online.com/skimag/ibu-world-cup-biathlon-schedule-dates-and-venues.htm</t>
        </is>
      </c>
      <c r="R716" s="10" t="n">
        <v>46311</v>
      </c>
      <c r="S716" s="9" t="inlineStr">
        <is>
          <t>Horaire (heure de Paris) issu du programme IBU relayé par la presse</t>
        </is>
      </c>
      <c r="T716" s="9">
        <f>IF(H716="","",IF(MAX(H716,I716)&lt;TODAY(),"Terminé",IF(H716&lt;=TODAY(),"En cours","À venir")))</f>
        <v/>
      </c>
    </row>
    <row r="717">
      <c r="A717" s="9" t="inlineStr">
        <is>
          <t>BIA-2627-035</t>
        </is>
      </c>
      <c r="B717" s="9" t="inlineStr">
        <is>
          <t>Biathlon</t>
        </is>
      </c>
      <c r="C717" s="9" t="inlineStr">
        <is>
          <t>Coupe du monde de biathlon</t>
        </is>
      </c>
      <c r="D717" s="9" t="inlineStr">
        <is>
          <t>2026-2027</t>
        </is>
      </c>
      <c r="E717" s="9" t="inlineStr">
        <is>
          <t>Sprint</t>
        </is>
      </c>
      <c r="F717" s="9" t="inlineStr">
        <is>
          <t>Étape 7</t>
        </is>
      </c>
      <c r="G717" s="9" t="inlineStr">
        <is>
          <t>Nové Město na Moravě – Sprint Femmes</t>
        </is>
      </c>
      <c r="H717" s="10" t="n">
        <v>46408</v>
      </c>
      <c r="I717" s="10" t="n">
        <v>46408</v>
      </c>
      <c r="J717" s="11" t="inlineStr">
        <is>
          <t>16:30</t>
        </is>
      </c>
      <c r="K717" s="9" t="inlineStr">
        <is>
          <t>Europe/Paris</t>
        </is>
      </c>
      <c r="L717" s="9" t="inlineStr">
        <is>
          <t>Nové Město na Moravě</t>
        </is>
      </c>
      <c r="M717" s="9" t="inlineStr">
        <is>
          <t>Tchéquie</t>
        </is>
      </c>
      <c r="N717" s="9" t="inlineStr">
        <is>
          <t>Femmes</t>
        </is>
      </c>
      <c r="O717" s="9" t="inlineStr">
        <is>
          <t>Officiel</t>
        </is>
      </c>
      <c r="P717" s="9" t="inlineStr">
        <is>
          <t>Oui</t>
        </is>
      </c>
      <c r="Q717" s="9" t="inlineStr">
        <is>
          <t>https://www.snow-online.com/skimag/ibu-world-cup-biathlon-schedule-dates-and-venues.htm</t>
        </is>
      </c>
      <c r="R717" s="10" t="n">
        <v>46311</v>
      </c>
      <c r="S717" s="9" t="inlineStr">
        <is>
          <t>Horaire (heure de Paris) issu du programme IBU relayé par la presse</t>
        </is>
      </c>
      <c r="T717" s="9">
        <f>IF(H717="","",IF(MAX(H717,I717)&lt;TODAY(),"Terminé",IF(H717&lt;=TODAY(),"En cours","À venir")))</f>
        <v/>
      </c>
    </row>
    <row r="718">
      <c r="A718" s="9" t="inlineStr">
        <is>
          <t>BIA-2627-036</t>
        </is>
      </c>
      <c r="B718" s="9" t="inlineStr">
        <is>
          <t>Biathlon</t>
        </is>
      </c>
      <c r="C718" s="9" t="inlineStr">
        <is>
          <t>Coupe du monde de biathlon</t>
        </is>
      </c>
      <c r="D718" s="9" t="inlineStr">
        <is>
          <t>2026-2027</t>
        </is>
      </c>
      <c r="E718" s="9" t="inlineStr">
        <is>
          <t>Sprint</t>
        </is>
      </c>
      <c r="F718" s="9" t="inlineStr">
        <is>
          <t>Étape 7</t>
        </is>
      </c>
      <c r="G718" s="9" t="inlineStr">
        <is>
          <t>Nové Město na Moravě – Sprint Hommes</t>
        </is>
      </c>
      <c r="H718" s="10" t="n">
        <v>46409</v>
      </c>
      <c r="I718" s="10" t="n">
        <v>46409</v>
      </c>
      <c r="J718" s="11" t="inlineStr">
        <is>
          <t>16:30</t>
        </is>
      </c>
      <c r="K718" s="9" t="inlineStr">
        <is>
          <t>Europe/Paris</t>
        </is>
      </c>
      <c r="L718" s="9" t="inlineStr">
        <is>
          <t>Nové Město na Moravě</t>
        </is>
      </c>
      <c r="M718" s="9" t="inlineStr">
        <is>
          <t>Tchéquie</t>
        </is>
      </c>
      <c r="N718" s="9" t="inlineStr">
        <is>
          <t>Hommes</t>
        </is>
      </c>
      <c r="O718" s="9" t="inlineStr">
        <is>
          <t>Officiel</t>
        </is>
      </c>
      <c r="P718" s="9" t="inlineStr">
        <is>
          <t>Oui</t>
        </is>
      </c>
      <c r="Q718" s="9" t="inlineStr">
        <is>
          <t>https://www.snow-online.com/skimag/ibu-world-cup-biathlon-schedule-dates-and-venues.htm</t>
        </is>
      </c>
      <c r="R718" s="10" t="n">
        <v>46311</v>
      </c>
      <c r="S718" s="9" t="inlineStr">
        <is>
          <t>Horaire (heure de Paris) issu du programme IBU relayé par la presse</t>
        </is>
      </c>
      <c r="T718" s="9">
        <f>IF(H718="","",IF(MAX(H718,I718)&lt;TODAY(),"Terminé",IF(H718&lt;=TODAY(),"En cours","À venir")))</f>
        <v/>
      </c>
    </row>
    <row r="719">
      <c r="A719" s="9" t="inlineStr">
        <is>
          <t>BIA-2627-037</t>
        </is>
      </c>
      <c r="B719" s="9" t="inlineStr">
        <is>
          <t>Biathlon</t>
        </is>
      </c>
      <c r="C719" s="9" t="inlineStr">
        <is>
          <t>Coupe du monde de biathlon</t>
        </is>
      </c>
      <c r="D719" s="9" t="inlineStr">
        <is>
          <t>2026-2027</t>
        </is>
      </c>
      <c r="E719" s="9" t="inlineStr">
        <is>
          <t>Mass start</t>
        </is>
      </c>
      <c r="F719" s="9" t="inlineStr">
        <is>
          <t>Étape 7</t>
        </is>
      </c>
      <c r="G719" s="9" t="inlineStr">
        <is>
          <t>Nové Město na Moravě – Mass start Femmes</t>
        </is>
      </c>
      <c r="H719" s="10" t="n">
        <v>46410</v>
      </c>
      <c r="I719" s="10" t="n">
        <v>46410</v>
      </c>
      <c r="J719" s="11" t="inlineStr">
        <is>
          <t>14:45</t>
        </is>
      </c>
      <c r="K719" s="9" t="inlineStr">
        <is>
          <t>Europe/Paris</t>
        </is>
      </c>
      <c r="L719" s="9" t="inlineStr">
        <is>
          <t>Nové Město na Moravě</t>
        </is>
      </c>
      <c r="M719" s="9" t="inlineStr">
        <is>
          <t>Tchéquie</t>
        </is>
      </c>
      <c r="N719" s="9" t="inlineStr">
        <is>
          <t>Femmes</t>
        </is>
      </c>
      <c r="O719" s="9" t="inlineStr">
        <is>
          <t>Officiel</t>
        </is>
      </c>
      <c r="P719" s="9" t="inlineStr">
        <is>
          <t>Oui</t>
        </is>
      </c>
      <c r="Q719" s="9" t="inlineStr">
        <is>
          <t>https://www.snow-online.com/skimag/ibu-world-cup-biathlon-schedule-dates-and-venues.htm</t>
        </is>
      </c>
      <c r="R719" s="10" t="n">
        <v>46311</v>
      </c>
      <c r="S719" s="9" t="inlineStr">
        <is>
          <t>Horaire (heure de Paris) issu du programme IBU relayé par la presse</t>
        </is>
      </c>
      <c r="T719" s="9">
        <f>IF(H719="","",IF(MAX(H719,I719)&lt;TODAY(),"Terminé",IF(H719&lt;=TODAY(),"En cours","À venir")))</f>
        <v/>
      </c>
    </row>
    <row r="720">
      <c r="A720" s="9" t="inlineStr">
        <is>
          <t>BIA-2627-038</t>
        </is>
      </c>
      <c r="B720" s="9" t="inlineStr">
        <is>
          <t>Biathlon</t>
        </is>
      </c>
      <c r="C720" s="9" t="inlineStr">
        <is>
          <t>Coupe du monde de biathlon</t>
        </is>
      </c>
      <c r="D720" s="9" t="inlineStr">
        <is>
          <t>2026-2027</t>
        </is>
      </c>
      <c r="E720" s="9" t="inlineStr">
        <is>
          <t>Relais</t>
        </is>
      </c>
      <c r="F720" s="9" t="inlineStr">
        <is>
          <t>Étape 7</t>
        </is>
      </c>
      <c r="G720" s="9" t="inlineStr">
        <is>
          <t>Nové Město na Moravě – Relais Hommes</t>
        </is>
      </c>
      <c r="H720" s="10" t="n">
        <v>46410</v>
      </c>
      <c r="I720" s="10" t="n">
        <v>46410</v>
      </c>
      <c r="J720" s="11" t="inlineStr">
        <is>
          <t>17:00</t>
        </is>
      </c>
      <c r="K720" s="9" t="inlineStr">
        <is>
          <t>Europe/Paris</t>
        </is>
      </c>
      <c r="L720" s="9" t="inlineStr">
        <is>
          <t>Nové Město na Moravě</t>
        </is>
      </c>
      <c r="M720" s="9" t="inlineStr">
        <is>
          <t>Tchéquie</t>
        </is>
      </c>
      <c r="N720" s="9" t="inlineStr">
        <is>
          <t>Hommes</t>
        </is>
      </c>
      <c r="O720" s="9" t="inlineStr">
        <is>
          <t>Officiel</t>
        </is>
      </c>
      <c r="P720" s="9" t="inlineStr">
        <is>
          <t>Oui</t>
        </is>
      </c>
      <c r="Q720" s="9" t="inlineStr">
        <is>
          <t>https://www.snow-online.com/skimag/ibu-world-cup-biathlon-schedule-dates-and-venues.htm</t>
        </is>
      </c>
      <c r="R720" s="10" t="n">
        <v>46311</v>
      </c>
      <c r="S720" s="9" t="inlineStr">
        <is>
          <t>Horaire (heure de Paris) issu du programme IBU relayé par la presse</t>
        </is>
      </c>
      <c r="T720" s="9">
        <f>IF(H720="","",IF(MAX(H720,I720)&lt;TODAY(),"Terminé",IF(H720&lt;=TODAY(),"En cours","À venir")))</f>
        <v/>
      </c>
    </row>
    <row r="721">
      <c r="A721" s="9" t="inlineStr">
        <is>
          <t>BIA-2627-039</t>
        </is>
      </c>
      <c r="B721" s="9" t="inlineStr">
        <is>
          <t>Biathlon</t>
        </is>
      </c>
      <c r="C721" s="9" t="inlineStr">
        <is>
          <t>Coupe du monde de biathlon</t>
        </is>
      </c>
      <c r="D721" s="9" t="inlineStr">
        <is>
          <t>2026-2027</t>
        </is>
      </c>
      <c r="E721" s="9" t="inlineStr">
        <is>
          <t>Relais</t>
        </is>
      </c>
      <c r="F721" s="9" t="inlineStr">
        <is>
          <t>Étape 7</t>
        </is>
      </c>
      <c r="G721" s="9" t="inlineStr">
        <is>
          <t>Nové Město na Moravě – Relais Femmes</t>
        </is>
      </c>
      <c r="H721" s="10" t="n">
        <v>46411</v>
      </c>
      <c r="I721" s="10" t="n">
        <v>46411</v>
      </c>
      <c r="J721" s="11" t="inlineStr">
        <is>
          <t>14:35</t>
        </is>
      </c>
      <c r="K721" s="9" t="inlineStr">
        <is>
          <t>Europe/Paris</t>
        </is>
      </c>
      <c r="L721" s="9" t="inlineStr">
        <is>
          <t>Nové Město na Moravě</t>
        </is>
      </c>
      <c r="M721" s="9" t="inlineStr">
        <is>
          <t>Tchéquie</t>
        </is>
      </c>
      <c r="N721" s="9" t="inlineStr">
        <is>
          <t>Femmes</t>
        </is>
      </c>
      <c r="O721" s="9" t="inlineStr">
        <is>
          <t>Officiel</t>
        </is>
      </c>
      <c r="P721" s="9" t="inlineStr">
        <is>
          <t>Oui</t>
        </is>
      </c>
      <c r="Q721" s="9" t="inlineStr">
        <is>
          <t>https://www.snow-online.com/skimag/ibu-world-cup-biathlon-schedule-dates-and-venues.htm</t>
        </is>
      </c>
      <c r="R721" s="10" t="n">
        <v>46311</v>
      </c>
      <c r="S721" s="9" t="inlineStr">
        <is>
          <t>Horaire (heure de Paris) issu du programme IBU relayé par la presse</t>
        </is>
      </c>
      <c r="T721" s="9">
        <f>IF(H721="","",IF(MAX(H721,I721)&lt;TODAY(),"Terminé",IF(H721&lt;=TODAY(),"En cours","À venir")))</f>
        <v/>
      </c>
    </row>
    <row r="722">
      <c r="A722" s="9" t="inlineStr">
        <is>
          <t>BIA-2627-040</t>
        </is>
      </c>
      <c r="B722" s="9" t="inlineStr">
        <is>
          <t>Biathlon</t>
        </is>
      </c>
      <c r="C722" s="9" t="inlineStr">
        <is>
          <t>Coupe du monde de biathlon</t>
        </is>
      </c>
      <c r="D722" s="9" t="inlineStr">
        <is>
          <t>2026-2027</t>
        </is>
      </c>
      <c r="E722" s="9" t="inlineStr">
        <is>
          <t>Mass start</t>
        </is>
      </c>
      <c r="F722" s="9" t="inlineStr">
        <is>
          <t>Étape 7</t>
        </is>
      </c>
      <c r="G722" s="9" t="inlineStr">
        <is>
          <t>Nové Město na Moravě – Mass start Hommes</t>
        </is>
      </c>
      <c r="H722" s="10" t="n">
        <v>46411</v>
      </c>
      <c r="I722" s="10" t="n">
        <v>46411</v>
      </c>
      <c r="J722" s="11" t="inlineStr">
        <is>
          <t>17:10</t>
        </is>
      </c>
      <c r="K722" s="9" t="inlineStr">
        <is>
          <t>Europe/Paris</t>
        </is>
      </c>
      <c r="L722" s="9" t="inlineStr">
        <is>
          <t>Nové Město na Moravě</t>
        </is>
      </c>
      <c r="M722" s="9" t="inlineStr">
        <is>
          <t>Tchéquie</t>
        </is>
      </c>
      <c r="N722" s="9" t="inlineStr">
        <is>
          <t>Hommes</t>
        </is>
      </c>
      <c r="O722" s="9" t="inlineStr">
        <is>
          <t>Officiel</t>
        </is>
      </c>
      <c r="P722" s="9" t="inlineStr">
        <is>
          <t>Oui</t>
        </is>
      </c>
      <c r="Q722" s="9" t="inlineStr">
        <is>
          <t>https://www.snow-online.com/skimag/ibu-world-cup-biathlon-schedule-dates-and-venues.htm</t>
        </is>
      </c>
      <c r="R722" s="10" t="n">
        <v>46311</v>
      </c>
      <c r="S722" s="9" t="inlineStr">
        <is>
          <t>Horaire (heure de Paris) issu du programme IBU relayé par la presse</t>
        </is>
      </c>
      <c r="T722" s="9">
        <f>IF(H722="","",IF(MAX(H722,I722)&lt;TODAY(),"Terminé",IF(H722&lt;=TODAY(),"En cours","À venir")))</f>
        <v/>
      </c>
    </row>
    <row r="723">
      <c r="A723" s="9" t="inlineStr">
        <is>
          <t>BIA-2627-041</t>
        </is>
      </c>
      <c r="B723" s="9" t="inlineStr">
        <is>
          <t>Biathlon</t>
        </is>
      </c>
      <c r="C723" s="9" t="inlineStr">
        <is>
          <t>Coupe du monde de biathlon</t>
        </is>
      </c>
      <c r="D723" s="9" t="inlineStr">
        <is>
          <t>2026-2027</t>
        </is>
      </c>
      <c r="E723" s="9" t="inlineStr">
        <is>
          <t>Sprint</t>
        </is>
      </c>
      <c r="F723" s="9" t="inlineStr">
        <is>
          <t>Étape 8</t>
        </is>
      </c>
      <c r="G723" s="9" t="inlineStr">
        <is>
          <t>Oberhof – Sprint Hommes</t>
        </is>
      </c>
      <c r="H723" s="10" t="n">
        <v>46450</v>
      </c>
      <c r="I723" s="10" t="n">
        <v>46450</v>
      </c>
      <c r="J723" s="11" t="n"/>
      <c r="K723" s="9" t="inlineStr">
        <is>
          <t>Europe/Paris</t>
        </is>
      </c>
      <c r="L723" s="9" t="inlineStr">
        <is>
          <t>Oberhof</t>
        </is>
      </c>
      <c r="M723" s="9" t="inlineStr">
        <is>
          <t>Allemagne</t>
        </is>
      </c>
      <c r="N723" s="9" t="inlineStr">
        <is>
          <t>Hommes</t>
        </is>
      </c>
      <c r="O723" s="9" t="inlineStr">
        <is>
          <t>Officiel</t>
        </is>
      </c>
      <c r="P723" s="9" t="inlineStr">
        <is>
          <t>Oui</t>
        </is>
      </c>
      <c r="Q723" s="9" t="inlineStr">
        <is>
          <t>https://www.cnews.fr/sport/2026-10-08/biathlon-villes-dates-horaires-epreuves-le-calendrier-complet-de-la-coupe-du-monde</t>
        </is>
      </c>
      <c r="R723" s="10" t="n">
        <v>46311</v>
      </c>
      <c r="S723" s="9" t="inlineStr">
        <is>
          <t>Horaire non retenu : sources divergentes (14:45/14:10 vs 15:30)</t>
        </is>
      </c>
      <c r="T723" s="9">
        <f>IF(H723="","",IF(MAX(H723,I723)&lt;TODAY(),"Terminé",IF(H723&lt;=TODAY(),"En cours","À venir")))</f>
        <v/>
      </c>
    </row>
    <row r="724">
      <c r="A724" s="9" t="inlineStr">
        <is>
          <t>BIA-2627-042</t>
        </is>
      </c>
      <c r="B724" s="9" t="inlineStr">
        <is>
          <t>Biathlon</t>
        </is>
      </c>
      <c r="C724" s="9" t="inlineStr">
        <is>
          <t>Coupe du monde de biathlon</t>
        </is>
      </c>
      <c r="D724" s="9" t="inlineStr">
        <is>
          <t>2026-2027</t>
        </is>
      </c>
      <c r="E724" s="9" t="inlineStr">
        <is>
          <t>Sprint</t>
        </is>
      </c>
      <c r="F724" s="9" t="inlineStr">
        <is>
          <t>Étape 8</t>
        </is>
      </c>
      <c r="G724" s="9" t="inlineStr">
        <is>
          <t>Oberhof – Sprint Femmes</t>
        </is>
      </c>
      <c r="H724" s="10" t="n">
        <v>46451</v>
      </c>
      <c r="I724" s="10" t="n">
        <v>46451</v>
      </c>
      <c r="J724" s="11" t="n"/>
      <c r="K724" s="9" t="inlineStr">
        <is>
          <t>Europe/Paris</t>
        </is>
      </c>
      <c r="L724" s="9" t="inlineStr">
        <is>
          <t>Oberhof</t>
        </is>
      </c>
      <c r="M724" s="9" t="inlineStr">
        <is>
          <t>Allemagne</t>
        </is>
      </c>
      <c r="N724" s="9" t="inlineStr">
        <is>
          <t>Femmes</t>
        </is>
      </c>
      <c r="O724" s="9" t="inlineStr">
        <is>
          <t>Officiel</t>
        </is>
      </c>
      <c r="P724" s="9" t="inlineStr">
        <is>
          <t>Oui</t>
        </is>
      </c>
      <c r="Q724" s="9" t="inlineStr">
        <is>
          <t>https://www.cnews.fr/sport/2026-10-08/biathlon-villes-dates-horaires-epreuves-le-calendrier-complet-de-la-coupe-du-monde</t>
        </is>
      </c>
      <c r="R724" s="10" t="n">
        <v>46311</v>
      </c>
      <c r="S724" s="9" t="inlineStr">
        <is>
          <t>Horaire non retenu : sources divergentes (14:45/14:10 vs 15:30)</t>
        </is>
      </c>
      <c r="T724" s="9">
        <f>IF(H724="","",IF(MAX(H724,I724)&lt;TODAY(),"Terminé",IF(H724&lt;=TODAY(),"En cours","À venir")))</f>
        <v/>
      </c>
    </row>
    <row r="725">
      <c r="A725" s="9" t="inlineStr">
        <is>
          <t>BIA-2627-043</t>
        </is>
      </c>
      <c r="B725" s="9" t="inlineStr">
        <is>
          <t>Biathlon</t>
        </is>
      </c>
      <c r="C725" s="9" t="inlineStr">
        <is>
          <t>Coupe du monde de biathlon</t>
        </is>
      </c>
      <c r="D725" s="9" t="inlineStr">
        <is>
          <t>2026-2027</t>
        </is>
      </c>
      <c r="E725" s="9" t="inlineStr">
        <is>
          <t>Poursuite</t>
        </is>
      </c>
      <c r="F725" s="9" t="inlineStr">
        <is>
          <t>Étape 8</t>
        </is>
      </c>
      <c r="G725" s="9" t="inlineStr">
        <is>
          <t>Oberhof – Poursuite Femmes</t>
        </is>
      </c>
      <c r="H725" s="10" t="n">
        <v>46452</v>
      </c>
      <c r="I725" s="10" t="n">
        <v>46452</v>
      </c>
      <c r="J725" s="11" t="inlineStr">
        <is>
          <t>16:00</t>
        </is>
      </c>
      <c r="K725" s="9" t="inlineStr">
        <is>
          <t>Europe/Paris</t>
        </is>
      </c>
      <c r="L725" s="9" t="inlineStr">
        <is>
          <t>Oberhof</t>
        </is>
      </c>
      <c r="M725" s="9" t="inlineStr">
        <is>
          <t>Allemagne</t>
        </is>
      </c>
      <c r="N725" s="9" t="inlineStr">
        <is>
          <t>Femmes</t>
        </is>
      </c>
      <c r="O725" s="9" t="inlineStr">
        <is>
          <t>Officiel</t>
        </is>
      </c>
      <c r="P725" s="9" t="inlineStr">
        <is>
          <t>Oui</t>
        </is>
      </c>
      <c r="Q725" s="9" t="inlineStr">
        <is>
          <t>https://www.cnews.fr/sport/2026-10-08/biathlon-villes-dates-horaires-epreuves-le-calendrier-complet-de-la-coupe-du-monde</t>
        </is>
      </c>
      <c r="R725" s="10" t="n">
        <v>46311</v>
      </c>
      <c r="S725" s="9" t="inlineStr">
        <is>
          <t>Horaire (heure de Paris) issu du programme IBU relayé par la presse</t>
        </is>
      </c>
      <c r="T725" s="9">
        <f>IF(H725="","",IF(MAX(H725,I725)&lt;TODAY(),"Terminé",IF(H725&lt;=TODAY(),"En cours","À venir")))</f>
        <v/>
      </c>
    </row>
    <row r="726">
      <c r="A726" s="9" t="inlineStr">
        <is>
          <t>BIA-2627-044</t>
        </is>
      </c>
      <c r="B726" s="9" t="inlineStr">
        <is>
          <t>Biathlon</t>
        </is>
      </c>
      <c r="C726" s="9" t="inlineStr">
        <is>
          <t>Coupe du monde de biathlon</t>
        </is>
      </c>
      <c r="D726" s="9" t="inlineStr">
        <is>
          <t>2026-2027</t>
        </is>
      </c>
      <c r="E726" s="9" t="inlineStr">
        <is>
          <t>Poursuite</t>
        </is>
      </c>
      <c r="F726" s="9" t="inlineStr">
        <is>
          <t>Étape 8</t>
        </is>
      </c>
      <c r="G726" s="9" t="inlineStr">
        <is>
          <t>Oberhof – Poursuite Hommes</t>
        </is>
      </c>
      <c r="H726" s="10" t="n">
        <v>46452</v>
      </c>
      <c r="I726" s="10" t="n">
        <v>46452</v>
      </c>
      <c r="J726" s="11" t="inlineStr">
        <is>
          <t>13:45</t>
        </is>
      </c>
      <c r="K726" s="9" t="inlineStr">
        <is>
          <t>Europe/Paris</t>
        </is>
      </c>
      <c r="L726" s="9" t="inlineStr">
        <is>
          <t>Oberhof</t>
        </is>
      </c>
      <c r="M726" s="9" t="inlineStr">
        <is>
          <t>Allemagne</t>
        </is>
      </c>
      <c r="N726" s="9" t="inlineStr">
        <is>
          <t>Hommes</t>
        </is>
      </c>
      <c r="O726" s="9" t="inlineStr">
        <is>
          <t>Officiel</t>
        </is>
      </c>
      <c r="P726" s="9" t="inlineStr">
        <is>
          <t>Oui</t>
        </is>
      </c>
      <c r="Q726" s="9" t="inlineStr">
        <is>
          <t>https://www.cnews.fr/sport/2026-10-08/biathlon-villes-dates-horaires-epreuves-le-calendrier-complet-de-la-coupe-du-monde</t>
        </is>
      </c>
      <c r="R726" s="10" t="n">
        <v>46311</v>
      </c>
      <c r="S726" s="9" t="inlineStr">
        <is>
          <t>Horaire (heure de Paris) issu du programme IBU relayé par la presse</t>
        </is>
      </c>
      <c r="T726" s="9">
        <f>IF(H726="","",IF(MAX(H726,I726)&lt;TODAY(),"Terminé",IF(H726&lt;=TODAY(),"En cours","À venir")))</f>
        <v/>
      </c>
    </row>
    <row r="727">
      <c r="A727" s="9" t="inlineStr">
        <is>
          <t>BIA-2627-045</t>
        </is>
      </c>
      <c r="B727" s="9" t="inlineStr">
        <is>
          <t>Biathlon</t>
        </is>
      </c>
      <c r="C727" s="9" t="inlineStr">
        <is>
          <t>Coupe du monde de biathlon</t>
        </is>
      </c>
      <c r="D727" s="9" t="inlineStr">
        <is>
          <t>2026-2027</t>
        </is>
      </c>
      <c r="E727" s="9" t="inlineStr">
        <is>
          <t>Relais</t>
        </is>
      </c>
      <c r="F727" s="9" t="inlineStr">
        <is>
          <t>Étape 8</t>
        </is>
      </c>
      <c r="G727" s="9" t="inlineStr">
        <is>
          <t>Oberhof – Relais Femmes</t>
        </is>
      </c>
      <c r="H727" s="10" t="n">
        <v>46453</v>
      </c>
      <c r="I727" s="10" t="n">
        <v>46453</v>
      </c>
      <c r="J727" s="11" t="inlineStr">
        <is>
          <t>15:50</t>
        </is>
      </c>
      <c r="K727" s="9" t="inlineStr">
        <is>
          <t>Europe/Paris</t>
        </is>
      </c>
      <c r="L727" s="9" t="inlineStr">
        <is>
          <t>Oberhof</t>
        </is>
      </c>
      <c r="M727" s="9" t="inlineStr">
        <is>
          <t>Allemagne</t>
        </is>
      </c>
      <c r="N727" s="9" t="inlineStr">
        <is>
          <t>Femmes</t>
        </is>
      </c>
      <c r="O727" s="9" t="inlineStr">
        <is>
          <t>Officiel</t>
        </is>
      </c>
      <c r="P727" s="9" t="inlineStr">
        <is>
          <t>Oui</t>
        </is>
      </c>
      <c r="Q727" s="9" t="inlineStr">
        <is>
          <t>https://www.cnews.fr/sport/2026-10-08/biathlon-villes-dates-horaires-epreuves-le-calendrier-complet-de-la-coupe-du-monde</t>
        </is>
      </c>
      <c r="R727" s="10" t="n">
        <v>46311</v>
      </c>
      <c r="S727" s="9" t="inlineStr">
        <is>
          <t>Horaire (heure de Paris) issu du programme IBU relayé par la presse</t>
        </is>
      </c>
      <c r="T727" s="9">
        <f>IF(H727="","",IF(MAX(H727,I727)&lt;TODAY(),"Terminé",IF(H727&lt;=TODAY(),"En cours","À venir")))</f>
        <v/>
      </c>
    </row>
    <row r="728">
      <c r="A728" s="9" t="inlineStr">
        <is>
          <t>BIA-2627-046</t>
        </is>
      </c>
      <c r="B728" s="9" t="inlineStr">
        <is>
          <t>Biathlon</t>
        </is>
      </c>
      <c r="C728" s="9" t="inlineStr">
        <is>
          <t>Coupe du monde de biathlon</t>
        </is>
      </c>
      <c r="D728" s="9" t="inlineStr">
        <is>
          <t>2026-2027</t>
        </is>
      </c>
      <c r="E728" s="9" t="inlineStr">
        <is>
          <t>Relais</t>
        </is>
      </c>
      <c r="F728" s="9" t="inlineStr">
        <is>
          <t>Étape 8</t>
        </is>
      </c>
      <c r="G728" s="9" t="inlineStr">
        <is>
          <t>Oberhof – Relais Hommes</t>
        </is>
      </c>
      <c r="H728" s="10" t="n">
        <v>46453</v>
      </c>
      <c r="I728" s="10" t="n">
        <v>46453</v>
      </c>
      <c r="J728" s="11" t="inlineStr">
        <is>
          <t>12:45</t>
        </is>
      </c>
      <c r="K728" s="9" t="inlineStr">
        <is>
          <t>Europe/Paris</t>
        </is>
      </c>
      <c r="L728" s="9" t="inlineStr">
        <is>
          <t>Oberhof</t>
        </is>
      </c>
      <c r="M728" s="9" t="inlineStr">
        <is>
          <t>Allemagne</t>
        </is>
      </c>
      <c r="N728" s="9" t="inlineStr">
        <is>
          <t>Hommes</t>
        </is>
      </c>
      <c r="O728" s="9" t="inlineStr">
        <is>
          <t>Officiel</t>
        </is>
      </c>
      <c r="P728" s="9" t="inlineStr">
        <is>
          <t>Oui</t>
        </is>
      </c>
      <c r="Q728" s="9" t="inlineStr">
        <is>
          <t>https://www.cnews.fr/sport/2026-10-08/biathlon-villes-dates-horaires-epreuves-le-calendrier-complet-de-la-coupe-du-monde</t>
        </is>
      </c>
      <c r="R728" s="10" t="n">
        <v>46311</v>
      </c>
      <c r="S728" s="9" t="inlineStr">
        <is>
          <t>Horaire (heure de Paris) issu du programme IBU relayé par la presse</t>
        </is>
      </c>
      <c r="T728" s="9">
        <f>IF(H728="","",IF(MAX(H728,I728)&lt;TODAY(),"Terminé",IF(H728&lt;=TODAY(),"En cours","À venir")))</f>
        <v/>
      </c>
    </row>
    <row r="729">
      <c r="A729" s="9" t="inlineStr">
        <is>
          <t>BIA-2627-047</t>
        </is>
      </c>
      <c r="B729" s="9" t="inlineStr">
        <is>
          <t>Biathlon</t>
        </is>
      </c>
      <c r="C729" s="9" t="inlineStr">
        <is>
          <t>Coupe du monde de biathlon</t>
        </is>
      </c>
      <c r="D729" s="9" t="inlineStr">
        <is>
          <t>2026-2027</t>
        </is>
      </c>
      <c r="E729" s="9" t="inlineStr">
        <is>
          <t>Individuel</t>
        </is>
      </c>
      <c r="F729" s="9" t="inlineStr">
        <is>
          <t>Étape 9</t>
        </is>
      </c>
      <c r="G729" s="9" t="inlineStr">
        <is>
          <t>Östersund – Individuel Femmes</t>
        </is>
      </c>
      <c r="H729" s="10" t="n">
        <v>46457</v>
      </c>
      <c r="I729" s="10" t="n">
        <v>46457</v>
      </c>
      <c r="J729" s="11" t="inlineStr">
        <is>
          <t>16:10</t>
        </is>
      </c>
      <c r="K729" s="9" t="inlineStr">
        <is>
          <t>Europe/Paris</t>
        </is>
      </c>
      <c r="L729" s="9" t="inlineStr">
        <is>
          <t>Östersund</t>
        </is>
      </c>
      <c r="M729" s="9" t="inlineStr">
        <is>
          <t>Suède</t>
        </is>
      </c>
      <c r="N729" s="9" t="inlineStr">
        <is>
          <t>Femmes</t>
        </is>
      </c>
      <c r="O729" s="9" t="inlineStr">
        <is>
          <t>Officiel</t>
        </is>
      </c>
      <c r="P729" s="9" t="inlineStr">
        <is>
          <t>Oui</t>
        </is>
      </c>
      <c r="Q729" s="9" t="inlineStr">
        <is>
          <t>https://www.snow-online.com/skimag/ibu-world-cup-biathlon-schedule-dates-and-venues.htm</t>
        </is>
      </c>
      <c r="R729" s="10" t="n">
        <v>46311</v>
      </c>
      <c r="S729" s="9" t="inlineStr">
        <is>
          <t>Horaire (heure de Paris) issu du programme IBU relayé par la presse</t>
        </is>
      </c>
      <c r="T729" s="9">
        <f>IF(H729="","",IF(MAX(H729,I729)&lt;TODAY(),"Terminé",IF(H729&lt;=TODAY(),"En cours","À venir")))</f>
        <v/>
      </c>
    </row>
    <row r="730">
      <c r="A730" s="9" t="inlineStr">
        <is>
          <t>BIA-2627-048</t>
        </is>
      </c>
      <c r="B730" s="9" t="inlineStr">
        <is>
          <t>Biathlon</t>
        </is>
      </c>
      <c r="C730" s="9" t="inlineStr">
        <is>
          <t>Coupe du monde de biathlon</t>
        </is>
      </c>
      <c r="D730" s="9" t="inlineStr">
        <is>
          <t>2026-2027</t>
        </is>
      </c>
      <c r="E730" s="9" t="inlineStr">
        <is>
          <t>Individuel</t>
        </is>
      </c>
      <c r="F730" s="9" t="inlineStr">
        <is>
          <t>Étape 9</t>
        </is>
      </c>
      <c r="G730" s="9" t="inlineStr">
        <is>
          <t>Östersund – Individuel Hommes</t>
        </is>
      </c>
      <c r="H730" s="10" t="n">
        <v>46458</v>
      </c>
      <c r="I730" s="10" t="n">
        <v>46458</v>
      </c>
      <c r="J730" s="11" t="inlineStr">
        <is>
          <t>16:10</t>
        </is>
      </c>
      <c r="K730" s="9" t="inlineStr">
        <is>
          <t>Europe/Paris</t>
        </is>
      </c>
      <c r="L730" s="9" t="inlineStr">
        <is>
          <t>Östersund</t>
        </is>
      </c>
      <c r="M730" s="9" t="inlineStr">
        <is>
          <t>Suède</t>
        </is>
      </c>
      <c r="N730" s="9" t="inlineStr">
        <is>
          <t>Hommes</t>
        </is>
      </c>
      <c r="O730" s="9" t="inlineStr">
        <is>
          <t>Officiel</t>
        </is>
      </c>
      <c r="P730" s="9" t="inlineStr">
        <is>
          <t>Oui</t>
        </is>
      </c>
      <c r="Q730" s="9" t="inlineStr">
        <is>
          <t>https://www.snow-online.com/skimag/ibu-world-cup-biathlon-schedule-dates-and-venues.htm</t>
        </is>
      </c>
      <c r="R730" s="10" t="n">
        <v>46311</v>
      </c>
      <c r="S730" s="9" t="inlineStr">
        <is>
          <t>Horaire (heure de Paris) issu du programme IBU relayé par la presse</t>
        </is>
      </c>
      <c r="T730" s="9">
        <f>IF(H730="","",IF(MAX(H730,I730)&lt;TODAY(),"Terminé",IF(H730&lt;=TODAY(),"En cours","À venir")))</f>
        <v/>
      </c>
    </row>
    <row r="731">
      <c r="A731" s="9" t="inlineStr">
        <is>
          <t>BIA-2627-049</t>
        </is>
      </c>
      <c r="B731" s="9" t="inlineStr">
        <is>
          <t>Biathlon</t>
        </is>
      </c>
      <c r="C731" s="9" t="inlineStr">
        <is>
          <t>Coupe du monde de biathlon</t>
        </is>
      </c>
      <c r="D731" s="9" t="inlineStr">
        <is>
          <t>2026-2027</t>
        </is>
      </c>
      <c r="E731" s="9" t="inlineStr">
        <is>
          <t>Relais mixte</t>
        </is>
      </c>
      <c r="F731" s="9" t="inlineStr">
        <is>
          <t>Étape 9</t>
        </is>
      </c>
      <c r="G731" s="9" t="inlineStr">
        <is>
          <t>Östersund – Relais mixte Mixte</t>
        </is>
      </c>
      <c r="H731" s="10" t="n">
        <v>46459</v>
      </c>
      <c r="I731" s="10" t="n">
        <v>46459</v>
      </c>
      <c r="J731" s="11" t="inlineStr">
        <is>
          <t>17:10</t>
        </is>
      </c>
      <c r="K731" s="9" t="inlineStr">
        <is>
          <t>Europe/Paris</t>
        </is>
      </c>
      <c r="L731" s="9" t="inlineStr">
        <is>
          <t>Östersund</t>
        </is>
      </c>
      <c r="M731" s="9" t="inlineStr">
        <is>
          <t>Suède</t>
        </is>
      </c>
      <c r="N731" s="9" t="inlineStr">
        <is>
          <t>Mixte</t>
        </is>
      </c>
      <c r="O731" s="9" t="inlineStr">
        <is>
          <t>Officiel</t>
        </is>
      </c>
      <c r="P731" s="9" t="inlineStr">
        <is>
          <t>Oui</t>
        </is>
      </c>
      <c r="Q731" s="9" t="inlineStr">
        <is>
          <t>https://www.snow-online.com/skimag/ibu-world-cup-biathlon-schedule-dates-and-venues.htm</t>
        </is>
      </c>
      <c r="R731" s="10" t="n">
        <v>46311</v>
      </c>
      <c r="S731" s="9" t="inlineStr">
        <is>
          <t>Horaire (heure de Paris) issu du programme IBU relayé par la presse</t>
        </is>
      </c>
      <c r="T731" s="9">
        <f>IF(H731="","",IF(MAX(H731,I731)&lt;TODAY(),"Terminé",IF(H731&lt;=TODAY(),"En cours","À venir")))</f>
        <v/>
      </c>
    </row>
    <row r="732">
      <c r="A732" s="9" t="inlineStr">
        <is>
          <t>BIA-2627-050</t>
        </is>
      </c>
      <c r="B732" s="9" t="inlineStr">
        <is>
          <t>Biathlon</t>
        </is>
      </c>
      <c r="C732" s="9" t="inlineStr">
        <is>
          <t>Coupe du monde de biathlon</t>
        </is>
      </c>
      <c r="D732" s="9" t="inlineStr">
        <is>
          <t>2026-2027</t>
        </is>
      </c>
      <c r="E732" s="9" t="inlineStr">
        <is>
          <t>Single mixed relay</t>
        </is>
      </c>
      <c r="F732" s="9" t="inlineStr">
        <is>
          <t>Étape 9</t>
        </is>
      </c>
      <c r="G732" s="9" t="inlineStr">
        <is>
          <t>Östersund – Single mixed relay Mixte</t>
        </is>
      </c>
      <c r="H732" s="10" t="n">
        <v>46459</v>
      </c>
      <c r="I732" s="10" t="n">
        <v>46459</v>
      </c>
      <c r="J732" s="11" t="inlineStr">
        <is>
          <t>14:30</t>
        </is>
      </c>
      <c r="K732" s="9" t="inlineStr">
        <is>
          <t>Europe/Paris</t>
        </is>
      </c>
      <c r="L732" s="9" t="inlineStr">
        <is>
          <t>Östersund</t>
        </is>
      </c>
      <c r="M732" s="9" t="inlineStr">
        <is>
          <t>Suède</t>
        </is>
      </c>
      <c r="N732" s="9" t="inlineStr">
        <is>
          <t>Mixte</t>
        </is>
      </c>
      <c r="O732" s="9" t="inlineStr">
        <is>
          <t>Officiel</t>
        </is>
      </c>
      <c r="P732" s="9" t="inlineStr">
        <is>
          <t>Oui</t>
        </is>
      </c>
      <c r="Q732" s="9" t="inlineStr">
        <is>
          <t>https://www.snow-online.com/skimag/ibu-world-cup-biathlon-schedule-dates-and-venues.htm</t>
        </is>
      </c>
      <c r="R732" s="10" t="n">
        <v>46311</v>
      </c>
      <c r="S732" s="9" t="inlineStr">
        <is>
          <t>Horaire (heure de Paris) issu du programme IBU relayé par la presse</t>
        </is>
      </c>
      <c r="T732" s="9">
        <f>IF(H732="","",IF(MAX(H732,I732)&lt;TODAY(),"Terminé",IF(H732&lt;=TODAY(),"En cours","À venir")))</f>
        <v/>
      </c>
    </row>
    <row r="733">
      <c r="A733" s="9" t="inlineStr">
        <is>
          <t>BIA-2627-051</t>
        </is>
      </c>
      <c r="B733" s="9" t="inlineStr">
        <is>
          <t>Biathlon</t>
        </is>
      </c>
      <c r="C733" s="9" t="inlineStr">
        <is>
          <t>Coupe du monde de biathlon</t>
        </is>
      </c>
      <c r="D733" s="9" t="inlineStr">
        <is>
          <t>2026-2027</t>
        </is>
      </c>
      <c r="E733" s="9" t="inlineStr">
        <is>
          <t>Mass start</t>
        </is>
      </c>
      <c r="F733" s="9" t="inlineStr">
        <is>
          <t>Étape 9</t>
        </is>
      </c>
      <c r="G733" s="9" t="inlineStr">
        <is>
          <t>Östersund – Mass start Femmes</t>
        </is>
      </c>
      <c r="H733" s="10" t="n">
        <v>46460</v>
      </c>
      <c r="I733" s="10" t="n">
        <v>46460</v>
      </c>
      <c r="J733" s="11" t="inlineStr">
        <is>
          <t>14:30</t>
        </is>
      </c>
      <c r="K733" s="9" t="inlineStr">
        <is>
          <t>Europe/Paris</t>
        </is>
      </c>
      <c r="L733" s="9" t="inlineStr">
        <is>
          <t>Östersund</t>
        </is>
      </c>
      <c r="M733" s="9" t="inlineStr">
        <is>
          <t>Suède</t>
        </is>
      </c>
      <c r="N733" s="9" t="inlineStr">
        <is>
          <t>Femmes</t>
        </is>
      </c>
      <c r="O733" s="9" t="inlineStr">
        <is>
          <t>Officiel</t>
        </is>
      </c>
      <c r="P733" s="9" t="inlineStr">
        <is>
          <t>Oui</t>
        </is>
      </c>
      <c r="Q733" s="9" t="inlineStr">
        <is>
          <t>https://www.snow-online.com/skimag/ibu-world-cup-biathlon-schedule-dates-and-venues.htm</t>
        </is>
      </c>
      <c r="R733" s="10" t="n">
        <v>46311</v>
      </c>
      <c r="S733" s="9" t="inlineStr">
        <is>
          <t>Horaire (heure de Paris) issu du programme IBU relayé par la presse</t>
        </is>
      </c>
      <c r="T733" s="9">
        <f>IF(H733="","",IF(MAX(H733,I733)&lt;TODAY(),"Terminé",IF(H733&lt;=TODAY(),"En cours","À venir")))</f>
        <v/>
      </c>
    </row>
    <row r="734">
      <c r="A734" s="9" t="inlineStr">
        <is>
          <t>BIA-2627-052</t>
        </is>
      </c>
      <c r="B734" s="9" t="inlineStr">
        <is>
          <t>Biathlon</t>
        </is>
      </c>
      <c r="C734" s="9" t="inlineStr">
        <is>
          <t>Coupe du monde de biathlon</t>
        </is>
      </c>
      <c r="D734" s="9" t="inlineStr">
        <is>
          <t>2026-2027</t>
        </is>
      </c>
      <c r="E734" s="9" t="inlineStr">
        <is>
          <t>Mass start</t>
        </is>
      </c>
      <c r="F734" s="9" t="inlineStr">
        <is>
          <t>Étape 9</t>
        </is>
      </c>
      <c r="G734" s="9" t="inlineStr">
        <is>
          <t>Östersund – Mass start Hommes</t>
        </is>
      </c>
      <c r="H734" s="10" t="n">
        <v>46460</v>
      </c>
      <c r="I734" s="10" t="n">
        <v>46460</v>
      </c>
      <c r="J734" s="11" t="inlineStr">
        <is>
          <t>17:10</t>
        </is>
      </c>
      <c r="K734" s="9" t="inlineStr">
        <is>
          <t>Europe/Paris</t>
        </is>
      </c>
      <c r="L734" s="9" t="inlineStr">
        <is>
          <t>Östersund</t>
        </is>
      </c>
      <c r="M734" s="9" t="inlineStr">
        <is>
          <t>Suède</t>
        </is>
      </c>
      <c r="N734" s="9" t="inlineStr">
        <is>
          <t>Hommes</t>
        </is>
      </c>
      <c r="O734" s="9" t="inlineStr">
        <is>
          <t>Officiel</t>
        </is>
      </c>
      <c r="P734" s="9" t="inlineStr">
        <is>
          <t>Oui</t>
        </is>
      </c>
      <c r="Q734" s="9" t="inlineStr">
        <is>
          <t>https://www.snow-online.com/skimag/ibu-world-cup-biathlon-schedule-dates-and-venues.htm</t>
        </is>
      </c>
      <c r="R734" s="10" t="n">
        <v>46311</v>
      </c>
      <c r="S734" s="9" t="inlineStr">
        <is>
          <t>Horaire (heure de Paris) issu du programme IBU relayé par la presse</t>
        </is>
      </c>
      <c r="T734" s="9">
        <f>IF(H734="","",IF(MAX(H734,I734)&lt;TODAY(),"Terminé",IF(H734&lt;=TODAY(),"En cours","À venir")))</f>
        <v/>
      </c>
    </row>
    <row r="735">
      <c r="A735" s="9" t="inlineStr">
        <is>
          <t>BIA-2627-053</t>
        </is>
      </c>
      <c r="B735" s="9" t="inlineStr">
        <is>
          <t>Biathlon</t>
        </is>
      </c>
      <c r="C735" s="9" t="inlineStr">
        <is>
          <t>Coupe du monde de biathlon</t>
        </is>
      </c>
      <c r="D735" s="9" t="inlineStr">
        <is>
          <t>2026-2027</t>
        </is>
      </c>
      <c r="E735" s="9" t="inlineStr">
        <is>
          <t>Sprint</t>
        </is>
      </c>
      <c r="F735" s="9" t="inlineStr">
        <is>
          <t>Étape 10</t>
        </is>
      </c>
      <c r="G735" s="9" t="inlineStr">
        <is>
          <t>Oslo-Holmenkollen – Sprint Hommes</t>
        </is>
      </c>
      <c r="H735" s="10" t="n">
        <v>46464</v>
      </c>
      <c r="I735" s="10" t="n">
        <v>46464</v>
      </c>
      <c r="J735" s="11" t="inlineStr">
        <is>
          <t>16:30</t>
        </is>
      </c>
      <c r="K735" s="9" t="inlineStr">
        <is>
          <t>Europe/Paris</t>
        </is>
      </c>
      <c r="L735" s="9" t="inlineStr">
        <is>
          <t>Oslo-Holmenkollen</t>
        </is>
      </c>
      <c r="M735" s="9" t="inlineStr">
        <is>
          <t>Norvège</t>
        </is>
      </c>
      <c r="N735" s="9" t="inlineStr">
        <is>
          <t>Hommes</t>
        </is>
      </c>
      <c r="O735" s="9" t="inlineStr">
        <is>
          <t>Officiel</t>
        </is>
      </c>
      <c r="P735" s="9" t="inlineStr">
        <is>
          <t>Oui</t>
        </is>
      </c>
      <c r="Q735" s="9" t="inlineStr">
        <is>
          <t>https://www.snow-online.com/skimag/ibu-world-cup-biathlon-schedule-dates-and-venues.htm</t>
        </is>
      </c>
      <c r="R735" s="10" t="n">
        <v>46311</v>
      </c>
      <c r="S735" s="9" t="inlineStr">
        <is>
          <t>Horaire (heure de Paris) issu du programme IBU relayé par la presse</t>
        </is>
      </c>
      <c r="T735" s="9">
        <f>IF(H735="","",IF(MAX(H735,I735)&lt;TODAY(),"Terminé",IF(H735&lt;=TODAY(),"En cours","À venir")))</f>
        <v/>
      </c>
    </row>
    <row r="736">
      <c r="A736" s="9" t="inlineStr">
        <is>
          <t>BIA-2627-054</t>
        </is>
      </c>
      <c r="B736" s="9" t="inlineStr">
        <is>
          <t>Biathlon</t>
        </is>
      </c>
      <c r="C736" s="9" t="inlineStr">
        <is>
          <t>Coupe du monde de biathlon</t>
        </is>
      </c>
      <c r="D736" s="9" t="inlineStr">
        <is>
          <t>2026-2027</t>
        </is>
      </c>
      <c r="E736" s="9" t="inlineStr">
        <is>
          <t>Sprint</t>
        </is>
      </c>
      <c r="F736" s="9" t="inlineStr">
        <is>
          <t>Étape 10</t>
        </is>
      </c>
      <c r="G736" s="9" t="inlineStr">
        <is>
          <t>Oslo-Holmenkollen – Sprint Femmes</t>
        </is>
      </c>
      <c r="H736" s="10" t="n">
        <v>46465</v>
      </c>
      <c r="I736" s="10" t="n">
        <v>46465</v>
      </c>
      <c r="J736" s="11" t="inlineStr">
        <is>
          <t>16:30</t>
        </is>
      </c>
      <c r="K736" s="9" t="inlineStr">
        <is>
          <t>Europe/Paris</t>
        </is>
      </c>
      <c r="L736" s="9" t="inlineStr">
        <is>
          <t>Oslo-Holmenkollen</t>
        </is>
      </c>
      <c r="M736" s="9" t="inlineStr">
        <is>
          <t>Norvège</t>
        </is>
      </c>
      <c r="N736" s="9" t="inlineStr">
        <is>
          <t>Femmes</t>
        </is>
      </c>
      <c r="O736" s="9" t="inlineStr">
        <is>
          <t>Officiel</t>
        </is>
      </c>
      <c r="P736" s="9" t="inlineStr">
        <is>
          <t>Oui</t>
        </is>
      </c>
      <c r="Q736" s="9" t="inlineStr">
        <is>
          <t>https://www.snow-online.com/skimag/ibu-world-cup-biathlon-schedule-dates-and-venues.htm</t>
        </is>
      </c>
      <c r="R736" s="10" t="n">
        <v>46311</v>
      </c>
      <c r="S736" s="9" t="inlineStr">
        <is>
          <t>Horaire (heure de Paris) issu du programme IBU relayé par la presse</t>
        </is>
      </c>
      <c r="T736" s="9">
        <f>IF(H736="","",IF(MAX(H736,I736)&lt;TODAY(),"Terminé",IF(H736&lt;=TODAY(),"En cours","À venir")))</f>
        <v/>
      </c>
    </row>
    <row r="737">
      <c r="A737" s="9" t="inlineStr">
        <is>
          <t>BIA-2627-055</t>
        </is>
      </c>
      <c r="B737" s="9" t="inlineStr">
        <is>
          <t>Biathlon</t>
        </is>
      </c>
      <c r="C737" s="9" t="inlineStr">
        <is>
          <t>Coupe du monde de biathlon</t>
        </is>
      </c>
      <c r="D737" s="9" t="inlineStr">
        <is>
          <t>2026-2027</t>
        </is>
      </c>
      <c r="E737" s="9" t="inlineStr">
        <is>
          <t>Poursuite</t>
        </is>
      </c>
      <c r="F737" s="9" t="inlineStr">
        <is>
          <t>Étape 10</t>
        </is>
      </c>
      <c r="G737" s="9" t="inlineStr">
        <is>
          <t>Oslo-Holmenkollen – Poursuite Femmes</t>
        </is>
      </c>
      <c r="H737" s="10" t="n">
        <v>46466</v>
      </c>
      <c r="I737" s="10" t="n">
        <v>46466</v>
      </c>
      <c r="J737" s="11" t="inlineStr">
        <is>
          <t>17:00</t>
        </is>
      </c>
      <c r="K737" s="9" t="inlineStr">
        <is>
          <t>Europe/Paris</t>
        </is>
      </c>
      <c r="L737" s="9" t="inlineStr">
        <is>
          <t>Oslo-Holmenkollen</t>
        </is>
      </c>
      <c r="M737" s="9" t="inlineStr">
        <is>
          <t>Norvège</t>
        </is>
      </c>
      <c r="N737" s="9" t="inlineStr">
        <is>
          <t>Femmes</t>
        </is>
      </c>
      <c r="O737" s="9" t="inlineStr">
        <is>
          <t>Officiel</t>
        </is>
      </c>
      <c r="P737" s="9" t="inlineStr">
        <is>
          <t>Oui</t>
        </is>
      </c>
      <c r="Q737" s="9" t="inlineStr">
        <is>
          <t>https://www.snow-online.com/skimag/ibu-world-cup-biathlon-schedule-dates-and-venues.htm</t>
        </is>
      </c>
      <c r="R737" s="10" t="n">
        <v>46311</v>
      </c>
      <c r="S737" s="9" t="inlineStr">
        <is>
          <t>Horaire (heure de Paris) issu du programme IBU relayé par la presse</t>
        </is>
      </c>
      <c r="T737" s="9">
        <f>IF(H737="","",IF(MAX(H737,I737)&lt;TODAY(),"Terminé",IF(H737&lt;=TODAY(),"En cours","À venir")))</f>
        <v/>
      </c>
    </row>
    <row r="738">
      <c r="A738" s="9" t="inlineStr">
        <is>
          <t>BIA-2627-056</t>
        </is>
      </c>
      <c r="B738" s="9" t="inlineStr">
        <is>
          <t>Biathlon</t>
        </is>
      </c>
      <c r="C738" s="9" t="inlineStr">
        <is>
          <t>Coupe du monde de biathlon</t>
        </is>
      </c>
      <c r="D738" s="9" t="inlineStr">
        <is>
          <t>2026-2027</t>
        </is>
      </c>
      <c r="E738" s="9" t="inlineStr">
        <is>
          <t>Poursuite</t>
        </is>
      </c>
      <c r="F738" s="9" t="inlineStr">
        <is>
          <t>Étape 10</t>
        </is>
      </c>
      <c r="G738" s="9" t="inlineStr">
        <is>
          <t>Oslo-Holmenkollen – Poursuite Hommes</t>
        </is>
      </c>
      <c r="H738" s="10" t="n">
        <v>46466</v>
      </c>
      <c r="I738" s="10" t="n">
        <v>46466</v>
      </c>
      <c r="J738" s="11" t="inlineStr">
        <is>
          <t>14:45</t>
        </is>
      </c>
      <c r="K738" s="9" t="inlineStr">
        <is>
          <t>Europe/Paris</t>
        </is>
      </c>
      <c r="L738" s="9" t="inlineStr">
        <is>
          <t>Oslo-Holmenkollen</t>
        </is>
      </c>
      <c r="M738" s="9" t="inlineStr">
        <is>
          <t>Norvège</t>
        </is>
      </c>
      <c r="N738" s="9" t="inlineStr">
        <is>
          <t>Hommes</t>
        </is>
      </c>
      <c r="O738" s="9" t="inlineStr">
        <is>
          <t>Officiel</t>
        </is>
      </c>
      <c r="P738" s="9" t="inlineStr">
        <is>
          <t>Oui</t>
        </is>
      </c>
      <c r="Q738" s="9" t="inlineStr">
        <is>
          <t>https://www.snow-online.com/skimag/ibu-world-cup-biathlon-schedule-dates-and-venues.htm</t>
        </is>
      </c>
      <c r="R738" s="10" t="n">
        <v>46311</v>
      </c>
      <c r="S738" s="9" t="inlineStr">
        <is>
          <t>Horaire (heure de Paris) issu du programme IBU relayé par la presse</t>
        </is>
      </c>
      <c r="T738" s="9">
        <f>IF(H738="","",IF(MAX(H738,I738)&lt;TODAY(),"Terminé",IF(H738&lt;=TODAY(),"En cours","À venir")))</f>
        <v/>
      </c>
    </row>
    <row r="739">
      <c r="A739" s="9" t="inlineStr">
        <is>
          <t>BIA-2627-057</t>
        </is>
      </c>
      <c r="B739" s="9" t="inlineStr">
        <is>
          <t>Biathlon</t>
        </is>
      </c>
      <c r="C739" s="9" t="inlineStr">
        <is>
          <t>Coupe du monde de biathlon</t>
        </is>
      </c>
      <c r="D739" s="9" t="inlineStr">
        <is>
          <t>2026-2027</t>
        </is>
      </c>
      <c r="E739" s="9" t="inlineStr">
        <is>
          <t>Mass start</t>
        </is>
      </c>
      <c r="F739" s="9" t="inlineStr">
        <is>
          <t>Étape 10</t>
        </is>
      </c>
      <c r="G739" s="9" t="inlineStr">
        <is>
          <t>Oslo-Holmenkollen – Mass start Femmes</t>
        </is>
      </c>
      <c r="H739" s="10" t="n">
        <v>46467</v>
      </c>
      <c r="I739" s="10" t="n">
        <v>46467</v>
      </c>
      <c r="J739" s="11" t="inlineStr">
        <is>
          <t>16:00</t>
        </is>
      </c>
      <c r="K739" s="9" t="inlineStr">
        <is>
          <t>Europe/Paris</t>
        </is>
      </c>
      <c r="L739" s="9" t="inlineStr">
        <is>
          <t>Oslo-Holmenkollen</t>
        </is>
      </c>
      <c r="M739" s="9" t="inlineStr">
        <is>
          <t>Norvège</t>
        </is>
      </c>
      <c r="N739" s="9" t="inlineStr">
        <is>
          <t>Femmes</t>
        </is>
      </c>
      <c r="O739" s="9" t="inlineStr">
        <is>
          <t>Officiel</t>
        </is>
      </c>
      <c r="P739" s="9" t="inlineStr">
        <is>
          <t>Oui</t>
        </is>
      </c>
      <c r="Q739" s="9" t="inlineStr">
        <is>
          <t>https://www.snow-online.com/skimag/ibu-world-cup-biathlon-schedule-dates-and-venues.htm</t>
        </is>
      </c>
      <c r="R739" s="10" t="n">
        <v>46311</v>
      </c>
      <c r="S739" s="9" t="inlineStr">
        <is>
          <t>Horaire (heure de Paris) issu du programme IBU relayé par la presse ; dernière course de la saison</t>
        </is>
      </c>
      <c r="T739" s="9">
        <f>IF(H739="","",IF(MAX(H739,I739)&lt;TODAY(),"Terminé",IF(H739&lt;=TODAY(),"En cours","À venir")))</f>
        <v/>
      </c>
    </row>
    <row r="740">
      <c r="A740" s="9" t="inlineStr">
        <is>
          <t>BIA-2627-058</t>
        </is>
      </c>
      <c r="B740" s="9" t="inlineStr">
        <is>
          <t>Biathlon</t>
        </is>
      </c>
      <c r="C740" s="9" t="inlineStr">
        <is>
          <t>Coupe du monde de biathlon</t>
        </is>
      </c>
      <c r="D740" s="9" t="inlineStr">
        <is>
          <t>2026-2027</t>
        </is>
      </c>
      <c r="E740" s="9" t="inlineStr">
        <is>
          <t>Mass start</t>
        </is>
      </c>
      <c r="F740" s="9" t="inlineStr">
        <is>
          <t>Étape 10</t>
        </is>
      </c>
      <c r="G740" s="9" t="inlineStr">
        <is>
          <t>Oslo-Holmenkollen – Mass start Hommes</t>
        </is>
      </c>
      <c r="H740" s="10" t="n">
        <v>46467</v>
      </c>
      <c r="I740" s="10" t="n">
        <v>46467</v>
      </c>
      <c r="J740" s="11" t="inlineStr">
        <is>
          <t>13:30</t>
        </is>
      </c>
      <c r="K740" s="9" t="inlineStr">
        <is>
          <t>Europe/Paris</t>
        </is>
      </c>
      <c r="L740" s="9" t="inlineStr">
        <is>
          <t>Oslo-Holmenkollen</t>
        </is>
      </c>
      <c r="M740" s="9" t="inlineStr">
        <is>
          <t>Norvège</t>
        </is>
      </c>
      <c r="N740" s="9" t="inlineStr">
        <is>
          <t>Hommes</t>
        </is>
      </c>
      <c r="O740" s="9" t="inlineStr">
        <is>
          <t>Officiel</t>
        </is>
      </c>
      <c r="P740" s="9" t="inlineStr">
        <is>
          <t>Oui</t>
        </is>
      </c>
      <c r="Q740" s="9" t="inlineStr">
        <is>
          <t>https://www.snow-online.com/skimag/ibu-world-cup-biathlon-schedule-dates-and-venues.htm</t>
        </is>
      </c>
      <c r="R740" s="10" t="n">
        <v>46311</v>
      </c>
      <c r="S740" s="9" t="inlineStr">
        <is>
          <t>Horaire (heure de Paris) issu du programme IBU relayé par la presse ; dernière course de la saison</t>
        </is>
      </c>
      <c r="T740" s="9">
        <f>IF(H740="","",IF(MAX(H740,I740)&lt;TODAY(),"Terminé",IF(H740&lt;=TODAY(),"En cours","À venir")))</f>
        <v/>
      </c>
    </row>
    <row r="741">
      <c r="A741" s="9" t="inlineStr">
        <is>
          <t>BIAM-2627-001</t>
        </is>
      </c>
      <c r="B741" s="9" t="inlineStr">
        <is>
          <t>Biathlon</t>
        </is>
      </c>
      <c r="C741" s="9" t="inlineStr">
        <is>
          <t>Championnats du monde de biathlon</t>
        </is>
      </c>
      <c r="D741" s="9" t="inlineStr">
        <is>
          <t>2026-2027</t>
        </is>
      </c>
      <c r="E741" s="9" t="inlineStr">
        <is>
          <t>Relais mixte</t>
        </is>
      </c>
      <c r="F741" s="9" t="n"/>
      <c r="G741" s="9" t="inlineStr">
        <is>
          <t>Otepää – Relais mixte Mixte</t>
        </is>
      </c>
      <c r="H741" s="10" t="n">
        <v>46428</v>
      </c>
      <c r="I741" s="10" t="n">
        <v>46428</v>
      </c>
      <c r="J741" s="11" t="n"/>
      <c r="K741" s="9" t="inlineStr">
        <is>
          <t>Europe/Paris</t>
        </is>
      </c>
      <c r="L741" s="9" t="inlineStr">
        <is>
          <t>Otepää</t>
        </is>
      </c>
      <c r="M741" s="9" t="inlineStr">
        <is>
          <t>Estonie</t>
        </is>
      </c>
      <c r="N741" s="9" t="inlineStr">
        <is>
          <t>Mixte</t>
        </is>
      </c>
      <c r="O741" s="9" t="inlineStr">
        <is>
          <t>Officiel</t>
        </is>
      </c>
      <c r="P741" s="9" t="inlineStr">
        <is>
          <t>Oui</t>
        </is>
      </c>
      <c r="Q741" s="9" t="inlineStr">
        <is>
          <t>https://www.nordicmag.info/en/biathlon-the-full-programme-for-the-2027-world-championships-in-otepaa-0325/</t>
        </is>
      </c>
      <c r="R741" s="10" t="n">
        <v>46311</v>
      </c>
      <c r="S741" s="9" t="inlineStr">
        <is>
          <t>Horaires publiés mais divergents selon les sources (fuseau à vérifier)</t>
        </is>
      </c>
      <c r="T741" s="9">
        <f>IF(H741="","",IF(MAX(H741,I741)&lt;TODAY(),"Terminé",IF(H741&lt;=TODAY(),"En cours","À venir")))</f>
        <v/>
      </c>
    </row>
    <row r="742">
      <c r="A742" s="9" t="inlineStr">
        <is>
          <t>BIAM-2627-002</t>
        </is>
      </c>
      <c r="B742" s="9" t="inlineStr">
        <is>
          <t>Biathlon</t>
        </is>
      </c>
      <c r="C742" s="9" t="inlineStr">
        <is>
          <t>Championnats du monde de biathlon</t>
        </is>
      </c>
      <c r="D742" s="9" t="inlineStr">
        <is>
          <t>2026-2027</t>
        </is>
      </c>
      <c r="E742" s="9" t="inlineStr">
        <is>
          <t>Sprint</t>
        </is>
      </c>
      <c r="F742" s="9" t="n"/>
      <c r="G742" s="9" t="inlineStr">
        <is>
          <t>Otepää – Sprint Hommes</t>
        </is>
      </c>
      <c r="H742" s="10" t="n">
        <v>46430</v>
      </c>
      <c r="I742" s="10" t="n">
        <v>46430</v>
      </c>
      <c r="J742" s="11" t="n"/>
      <c r="K742" s="9" t="inlineStr">
        <is>
          <t>Europe/Paris</t>
        </is>
      </c>
      <c r="L742" s="9" t="inlineStr">
        <is>
          <t>Otepää</t>
        </is>
      </c>
      <c r="M742" s="9" t="inlineStr">
        <is>
          <t>Estonie</t>
        </is>
      </c>
      <c r="N742" s="9" t="inlineStr">
        <is>
          <t>Hommes</t>
        </is>
      </c>
      <c r="O742" s="9" t="inlineStr">
        <is>
          <t>Officiel</t>
        </is>
      </c>
      <c r="P742" s="9" t="inlineStr">
        <is>
          <t>Oui</t>
        </is>
      </c>
      <c r="Q742" s="9" t="inlineStr">
        <is>
          <t>https://www.nordicmag.info/en/biathlon-the-full-programme-for-the-2027-world-championships-in-otepaa-0325/</t>
        </is>
      </c>
      <c r="R742" s="10" t="n">
        <v>46311</v>
      </c>
      <c r="S742" s="9" t="inlineStr">
        <is>
          <t>Horaires publiés mais divergents selon les sources (fuseau à vérifier)</t>
        </is>
      </c>
      <c r="T742" s="9">
        <f>IF(H742="","",IF(MAX(H742,I742)&lt;TODAY(),"Terminé",IF(H742&lt;=TODAY(),"En cours","À venir")))</f>
        <v/>
      </c>
    </row>
    <row r="743">
      <c r="A743" s="9" t="inlineStr">
        <is>
          <t>BIAM-2627-003</t>
        </is>
      </c>
      <c r="B743" s="9" t="inlineStr">
        <is>
          <t>Biathlon</t>
        </is>
      </c>
      <c r="C743" s="9" t="inlineStr">
        <is>
          <t>Championnats du monde de biathlon</t>
        </is>
      </c>
      <c r="D743" s="9" t="inlineStr">
        <is>
          <t>2026-2027</t>
        </is>
      </c>
      <c r="E743" s="9" t="inlineStr">
        <is>
          <t>Sprint</t>
        </is>
      </c>
      <c r="F743" s="9" t="n"/>
      <c r="G743" s="9" t="inlineStr">
        <is>
          <t>Otepää – Sprint Femmes</t>
        </is>
      </c>
      <c r="H743" s="10" t="n">
        <v>46431</v>
      </c>
      <c r="I743" s="10" t="n">
        <v>46431</v>
      </c>
      <c r="J743" s="11" t="n"/>
      <c r="K743" s="9" t="inlineStr">
        <is>
          <t>Europe/Paris</t>
        </is>
      </c>
      <c r="L743" s="9" t="inlineStr">
        <is>
          <t>Otepää</t>
        </is>
      </c>
      <c r="M743" s="9" t="inlineStr">
        <is>
          <t>Estonie</t>
        </is>
      </c>
      <c r="N743" s="9" t="inlineStr">
        <is>
          <t>Femmes</t>
        </is>
      </c>
      <c r="O743" s="9" t="inlineStr">
        <is>
          <t>Officiel</t>
        </is>
      </c>
      <c r="P743" s="9" t="inlineStr">
        <is>
          <t>Oui</t>
        </is>
      </c>
      <c r="Q743" s="9" t="inlineStr">
        <is>
          <t>https://www.nordicmag.info/en/biathlon-the-full-programme-for-the-2027-world-championships-in-otepaa-0325/</t>
        </is>
      </c>
      <c r="R743" s="10" t="n">
        <v>46311</v>
      </c>
      <c r="S743" s="9" t="inlineStr">
        <is>
          <t>Horaires publiés mais divergents selon les sources (fuseau à vérifier)</t>
        </is>
      </c>
      <c r="T743" s="9">
        <f>IF(H743="","",IF(MAX(H743,I743)&lt;TODAY(),"Terminé",IF(H743&lt;=TODAY(),"En cours","À venir")))</f>
        <v/>
      </c>
    </row>
    <row r="744">
      <c r="A744" s="9" t="inlineStr">
        <is>
          <t>BIAM-2627-004</t>
        </is>
      </c>
      <c r="B744" s="9" t="inlineStr">
        <is>
          <t>Biathlon</t>
        </is>
      </c>
      <c r="C744" s="9" t="inlineStr">
        <is>
          <t>Championnats du monde de biathlon</t>
        </is>
      </c>
      <c r="D744" s="9" t="inlineStr">
        <is>
          <t>2026-2027</t>
        </is>
      </c>
      <c r="E744" s="9" t="inlineStr">
        <is>
          <t>Poursuite</t>
        </is>
      </c>
      <c r="F744" s="9" t="n"/>
      <c r="G744" s="9" t="inlineStr">
        <is>
          <t>Otepää – Poursuite Femmes</t>
        </is>
      </c>
      <c r="H744" s="10" t="n">
        <v>46432</v>
      </c>
      <c r="I744" s="10" t="n">
        <v>46432</v>
      </c>
      <c r="J744" s="11" t="n"/>
      <c r="K744" s="9" t="inlineStr">
        <is>
          <t>Europe/Paris</t>
        </is>
      </c>
      <c r="L744" s="9" t="inlineStr">
        <is>
          <t>Otepää</t>
        </is>
      </c>
      <c r="M744" s="9" t="inlineStr">
        <is>
          <t>Estonie</t>
        </is>
      </c>
      <c r="N744" s="9" t="inlineStr">
        <is>
          <t>Femmes</t>
        </is>
      </c>
      <c r="O744" s="9" t="inlineStr">
        <is>
          <t>Officiel</t>
        </is>
      </c>
      <c r="P744" s="9" t="inlineStr">
        <is>
          <t>Oui</t>
        </is>
      </c>
      <c r="Q744" s="9" t="inlineStr">
        <is>
          <t>https://www.nordicmag.info/en/biathlon-the-full-programme-for-the-2027-world-championships-in-otepaa-0325/</t>
        </is>
      </c>
      <c r="R744" s="10" t="n">
        <v>46311</v>
      </c>
      <c r="S744" s="9" t="inlineStr">
        <is>
          <t>Horaires publiés mais divergents selon les sources (fuseau à vérifier)</t>
        </is>
      </c>
      <c r="T744" s="9">
        <f>IF(H744="","",IF(MAX(H744,I744)&lt;TODAY(),"Terminé",IF(H744&lt;=TODAY(),"En cours","À venir")))</f>
        <v/>
      </c>
    </row>
    <row r="745">
      <c r="A745" s="9" t="inlineStr">
        <is>
          <t>BIAM-2627-005</t>
        </is>
      </c>
      <c r="B745" s="9" t="inlineStr">
        <is>
          <t>Biathlon</t>
        </is>
      </c>
      <c r="C745" s="9" t="inlineStr">
        <is>
          <t>Championnats du monde de biathlon</t>
        </is>
      </c>
      <c r="D745" s="9" t="inlineStr">
        <is>
          <t>2026-2027</t>
        </is>
      </c>
      <c r="E745" s="9" t="inlineStr">
        <is>
          <t>Poursuite</t>
        </is>
      </c>
      <c r="F745" s="9" t="n"/>
      <c r="G745" s="9" t="inlineStr">
        <is>
          <t>Otepää – Poursuite Hommes</t>
        </is>
      </c>
      <c r="H745" s="10" t="n">
        <v>46432</v>
      </c>
      <c r="I745" s="10" t="n">
        <v>46432</v>
      </c>
      <c r="J745" s="11" t="n"/>
      <c r="K745" s="9" t="inlineStr">
        <is>
          <t>Europe/Paris</t>
        </is>
      </c>
      <c r="L745" s="9" t="inlineStr">
        <is>
          <t>Otepää</t>
        </is>
      </c>
      <c r="M745" s="9" t="inlineStr">
        <is>
          <t>Estonie</t>
        </is>
      </c>
      <c r="N745" s="9" t="inlineStr">
        <is>
          <t>Hommes</t>
        </is>
      </c>
      <c r="O745" s="9" t="inlineStr">
        <is>
          <t>Officiel</t>
        </is>
      </c>
      <c r="P745" s="9" t="inlineStr">
        <is>
          <t>Oui</t>
        </is>
      </c>
      <c r="Q745" s="9" t="inlineStr">
        <is>
          <t>https://www.nordicmag.info/en/biathlon-the-full-programme-for-the-2027-world-championships-in-otepaa-0325/</t>
        </is>
      </c>
      <c r="R745" s="10" t="n">
        <v>46311</v>
      </c>
      <c r="S745" s="9" t="inlineStr">
        <is>
          <t>Horaires publiés mais divergents selon les sources (fuseau à vérifier)</t>
        </is>
      </c>
      <c r="T745" s="9">
        <f>IF(H745="","",IF(MAX(H745,I745)&lt;TODAY(),"Terminé",IF(H745&lt;=TODAY(),"En cours","À venir")))</f>
        <v/>
      </c>
    </row>
    <row r="746">
      <c r="A746" s="9" t="inlineStr">
        <is>
          <t>BIAM-2627-006</t>
        </is>
      </c>
      <c r="B746" s="9" t="inlineStr">
        <is>
          <t>Biathlon</t>
        </is>
      </c>
      <c r="C746" s="9" t="inlineStr">
        <is>
          <t>Championnats du monde de biathlon</t>
        </is>
      </c>
      <c r="D746" s="9" t="inlineStr">
        <is>
          <t>2026-2027</t>
        </is>
      </c>
      <c r="E746" s="9" t="inlineStr">
        <is>
          <t>Single mixed relay</t>
        </is>
      </c>
      <c r="F746" s="9" t="n"/>
      <c r="G746" s="9" t="inlineStr">
        <is>
          <t>Otepää – Single mixed relay Mixte</t>
        </is>
      </c>
      <c r="H746" s="10" t="n">
        <v>46434</v>
      </c>
      <c r="I746" s="10" t="n">
        <v>46434</v>
      </c>
      <c r="J746" s="11" t="n"/>
      <c r="K746" s="9" t="inlineStr">
        <is>
          <t>Europe/Paris</t>
        </is>
      </c>
      <c r="L746" s="9" t="inlineStr">
        <is>
          <t>Otepää</t>
        </is>
      </c>
      <c r="M746" s="9" t="inlineStr">
        <is>
          <t>Estonie</t>
        </is>
      </c>
      <c r="N746" s="9" t="inlineStr">
        <is>
          <t>Mixte</t>
        </is>
      </c>
      <c r="O746" s="9" t="inlineStr">
        <is>
          <t>Officiel</t>
        </is>
      </c>
      <c r="P746" s="9" t="inlineStr">
        <is>
          <t>Oui</t>
        </is>
      </c>
      <c r="Q746" s="9" t="inlineStr">
        <is>
          <t>https://www.nordicmag.info/en/biathlon-the-full-programme-for-the-2027-world-championships-in-otepaa-0325/</t>
        </is>
      </c>
      <c r="R746" s="10" t="n">
        <v>46311</v>
      </c>
      <c r="S746" s="9" t="inlineStr">
        <is>
          <t>Horaires publiés mais divergents selon les sources (fuseau à vérifier)</t>
        </is>
      </c>
      <c r="T746" s="9">
        <f>IF(H746="","",IF(MAX(H746,I746)&lt;TODAY(),"Terminé",IF(H746&lt;=TODAY(),"En cours","À venir")))</f>
        <v/>
      </c>
    </row>
    <row r="747">
      <c r="A747" s="9" t="inlineStr">
        <is>
          <t>BIAM-2627-007</t>
        </is>
      </c>
      <c r="B747" s="9" t="inlineStr">
        <is>
          <t>Biathlon</t>
        </is>
      </c>
      <c r="C747" s="9" t="inlineStr">
        <is>
          <t>Championnats du monde de biathlon</t>
        </is>
      </c>
      <c r="D747" s="9" t="inlineStr">
        <is>
          <t>2026-2027</t>
        </is>
      </c>
      <c r="E747" s="9" t="inlineStr">
        <is>
          <t>Individuel</t>
        </is>
      </c>
      <c r="F747" s="9" t="n"/>
      <c r="G747" s="9" t="inlineStr">
        <is>
          <t>Otepää – Individuel Hommes</t>
        </is>
      </c>
      <c r="H747" s="10" t="n">
        <v>46435</v>
      </c>
      <c r="I747" s="10" t="n">
        <v>46435</v>
      </c>
      <c r="J747" s="11" t="n"/>
      <c r="K747" s="9" t="inlineStr">
        <is>
          <t>Europe/Paris</t>
        </is>
      </c>
      <c r="L747" s="9" t="inlineStr">
        <is>
          <t>Otepää</t>
        </is>
      </c>
      <c r="M747" s="9" t="inlineStr">
        <is>
          <t>Estonie</t>
        </is>
      </c>
      <c r="N747" s="9" t="inlineStr">
        <is>
          <t>Hommes</t>
        </is>
      </c>
      <c r="O747" s="9" t="inlineStr">
        <is>
          <t>Officiel</t>
        </is>
      </c>
      <c r="P747" s="9" t="inlineStr">
        <is>
          <t>Oui</t>
        </is>
      </c>
      <c r="Q747" s="9" t="inlineStr">
        <is>
          <t>https://www.nordicmag.info/en/biathlon-the-full-programme-for-the-2027-world-championships-in-otepaa-0325/</t>
        </is>
      </c>
      <c r="R747" s="10" t="n">
        <v>46311</v>
      </c>
      <c r="S747" s="9" t="inlineStr">
        <is>
          <t>Horaires publiés mais divergents selon les sources (fuseau à vérifier)</t>
        </is>
      </c>
      <c r="T747" s="9">
        <f>IF(H747="","",IF(MAX(H747,I747)&lt;TODAY(),"Terminé",IF(H747&lt;=TODAY(),"En cours","À venir")))</f>
        <v/>
      </c>
    </row>
    <row r="748">
      <c r="A748" s="9" t="inlineStr">
        <is>
          <t>BIAM-2627-008</t>
        </is>
      </c>
      <c r="B748" s="9" t="inlineStr">
        <is>
          <t>Biathlon</t>
        </is>
      </c>
      <c r="C748" s="9" t="inlineStr">
        <is>
          <t>Championnats du monde de biathlon</t>
        </is>
      </c>
      <c r="D748" s="9" t="inlineStr">
        <is>
          <t>2026-2027</t>
        </is>
      </c>
      <c r="E748" s="9" t="inlineStr">
        <is>
          <t>Individuel</t>
        </is>
      </c>
      <c r="F748" s="9" t="n"/>
      <c r="G748" s="9" t="inlineStr">
        <is>
          <t>Otepää – Individuel Femmes</t>
        </is>
      </c>
      <c r="H748" s="10" t="n">
        <v>46436</v>
      </c>
      <c r="I748" s="10" t="n">
        <v>46436</v>
      </c>
      <c r="J748" s="11" t="n"/>
      <c r="K748" s="9" t="inlineStr">
        <is>
          <t>Europe/Paris</t>
        </is>
      </c>
      <c r="L748" s="9" t="inlineStr">
        <is>
          <t>Otepää</t>
        </is>
      </c>
      <c r="M748" s="9" t="inlineStr">
        <is>
          <t>Estonie</t>
        </is>
      </c>
      <c r="N748" s="9" t="inlineStr">
        <is>
          <t>Femmes</t>
        </is>
      </c>
      <c r="O748" s="9" t="inlineStr">
        <is>
          <t>Officiel</t>
        </is>
      </c>
      <c r="P748" s="9" t="inlineStr">
        <is>
          <t>Oui</t>
        </is>
      </c>
      <c r="Q748" s="9" t="inlineStr">
        <is>
          <t>https://www.nordicmag.info/en/biathlon-the-full-programme-for-the-2027-world-championships-in-otepaa-0325/</t>
        </is>
      </c>
      <c r="R748" s="10" t="n">
        <v>46311</v>
      </c>
      <c r="S748" s="9" t="inlineStr">
        <is>
          <t>Horaires publiés mais divergents selon les sources (fuseau à vérifier)</t>
        </is>
      </c>
      <c r="T748" s="9">
        <f>IF(H748="","",IF(MAX(H748,I748)&lt;TODAY(),"Terminé",IF(H748&lt;=TODAY(),"En cours","À venir")))</f>
        <v/>
      </c>
    </row>
    <row r="749">
      <c r="A749" s="9" t="inlineStr">
        <is>
          <t>BIAM-2627-009</t>
        </is>
      </c>
      <c r="B749" s="9" t="inlineStr">
        <is>
          <t>Biathlon</t>
        </is>
      </c>
      <c r="C749" s="9" t="inlineStr">
        <is>
          <t>Championnats du monde de biathlon</t>
        </is>
      </c>
      <c r="D749" s="9" t="inlineStr">
        <is>
          <t>2026-2027</t>
        </is>
      </c>
      <c r="E749" s="9" t="inlineStr">
        <is>
          <t>Relais</t>
        </is>
      </c>
      <c r="F749" s="9" t="n"/>
      <c r="G749" s="9" t="inlineStr">
        <is>
          <t>Otepää – Relais Hommes</t>
        </is>
      </c>
      <c r="H749" s="10" t="n">
        <v>46437</v>
      </c>
      <c r="I749" s="10" t="n">
        <v>46437</v>
      </c>
      <c r="J749" s="11" t="n"/>
      <c r="K749" s="9" t="inlineStr">
        <is>
          <t>Europe/Paris</t>
        </is>
      </c>
      <c r="L749" s="9" t="inlineStr">
        <is>
          <t>Otepää</t>
        </is>
      </c>
      <c r="M749" s="9" t="inlineStr">
        <is>
          <t>Estonie</t>
        </is>
      </c>
      <c r="N749" s="9" t="inlineStr">
        <is>
          <t>Hommes</t>
        </is>
      </c>
      <c r="O749" s="9" t="inlineStr">
        <is>
          <t>Officiel</t>
        </is>
      </c>
      <c r="P749" s="9" t="inlineStr">
        <is>
          <t>Oui</t>
        </is>
      </c>
      <c r="Q749" s="9" t="inlineStr">
        <is>
          <t>https://www.nordicmag.info/en/biathlon-the-full-programme-for-the-2027-world-championships-in-otepaa-0325/</t>
        </is>
      </c>
      <c r="R749" s="10" t="n">
        <v>46311</v>
      </c>
      <c r="S749" s="9" t="inlineStr">
        <is>
          <t>Horaires publiés mais divergents selon les sources (fuseau à vérifier)</t>
        </is>
      </c>
      <c r="T749" s="9">
        <f>IF(H749="","",IF(MAX(H749,I749)&lt;TODAY(),"Terminé",IF(H749&lt;=TODAY(),"En cours","À venir")))</f>
        <v/>
      </c>
    </row>
    <row r="750">
      <c r="A750" s="9" t="inlineStr">
        <is>
          <t>BIAM-2627-010</t>
        </is>
      </c>
      <c r="B750" s="9" t="inlineStr">
        <is>
          <t>Biathlon</t>
        </is>
      </c>
      <c r="C750" s="9" t="inlineStr">
        <is>
          <t>Championnats du monde de biathlon</t>
        </is>
      </c>
      <c r="D750" s="9" t="inlineStr">
        <is>
          <t>2026-2027</t>
        </is>
      </c>
      <c r="E750" s="9" t="inlineStr">
        <is>
          <t>Relais</t>
        </is>
      </c>
      <c r="F750" s="9" t="n"/>
      <c r="G750" s="9" t="inlineStr">
        <is>
          <t>Otepää – Relais Femmes</t>
        </is>
      </c>
      <c r="H750" s="10" t="n">
        <v>46438</v>
      </c>
      <c r="I750" s="10" t="n">
        <v>46438</v>
      </c>
      <c r="J750" s="11" t="n"/>
      <c r="K750" s="9" t="inlineStr">
        <is>
          <t>Europe/Paris</t>
        </is>
      </c>
      <c r="L750" s="9" t="inlineStr">
        <is>
          <t>Otepää</t>
        </is>
      </c>
      <c r="M750" s="9" t="inlineStr">
        <is>
          <t>Estonie</t>
        </is>
      </c>
      <c r="N750" s="9" t="inlineStr">
        <is>
          <t>Femmes</t>
        </is>
      </c>
      <c r="O750" s="9" t="inlineStr">
        <is>
          <t>Officiel</t>
        </is>
      </c>
      <c r="P750" s="9" t="inlineStr">
        <is>
          <t>Oui</t>
        </is>
      </c>
      <c r="Q750" s="9" t="inlineStr">
        <is>
          <t>https://www.nordicmag.info/en/biathlon-the-full-programme-for-the-2027-world-championships-in-otepaa-0325/</t>
        </is>
      </c>
      <c r="R750" s="10" t="n">
        <v>46311</v>
      </c>
      <c r="S750" s="9" t="inlineStr">
        <is>
          <t>Horaires publiés mais divergents selon les sources (fuseau à vérifier)</t>
        </is>
      </c>
      <c r="T750" s="9">
        <f>IF(H750="","",IF(MAX(H750,I750)&lt;TODAY(),"Terminé",IF(H750&lt;=TODAY(),"En cours","À venir")))</f>
        <v/>
      </c>
    </row>
    <row r="751">
      <c r="A751" s="9" t="inlineStr">
        <is>
          <t>BIAM-2627-011</t>
        </is>
      </c>
      <c r="B751" s="9" t="inlineStr">
        <is>
          <t>Biathlon</t>
        </is>
      </c>
      <c r="C751" s="9" t="inlineStr">
        <is>
          <t>Championnats du monde de biathlon</t>
        </is>
      </c>
      <c r="D751" s="9" t="inlineStr">
        <is>
          <t>2026-2027</t>
        </is>
      </c>
      <c r="E751" s="9" t="inlineStr">
        <is>
          <t>Mass start</t>
        </is>
      </c>
      <c r="F751" s="9" t="n"/>
      <c r="G751" s="9" t="inlineStr">
        <is>
          <t>Otepää – Mass start Femmes</t>
        </is>
      </c>
      <c r="H751" s="10" t="n">
        <v>46439</v>
      </c>
      <c r="I751" s="10" t="n">
        <v>46439</v>
      </c>
      <c r="J751" s="11" t="n"/>
      <c r="K751" s="9" t="inlineStr">
        <is>
          <t>Europe/Paris</t>
        </is>
      </c>
      <c r="L751" s="9" t="inlineStr">
        <is>
          <t>Otepää</t>
        </is>
      </c>
      <c r="M751" s="9" t="inlineStr">
        <is>
          <t>Estonie</t>
        </is>
      </c>
      <c r="N751" s="9" t="inlineStr">
        <is>
          <t>Femmes</t>
        </is>
      </c>
      <c r="O751" s="9" t="inlineStr">
        <is>
          <t>Officiel</t>
        </is>
      </c>
      <c r="P751" s="9" t="inlineStr">
        <is>
          <t>Oui</t>
        </is>
      </c>
      <c r="Q751" s="9" t="inlineStr">
        <is>
          <t>https://www.nordicmag.info/en/biathlon-the-full-programme-for-the-2027-world-championships-in-otepaa-0325/</t>
        </is>
      </c>
      <c r="R751" s="10" t="n">
        <v>46311</v>
      </c>
      <c r="S751" s="9" t="inlineStr">
        <is>
          <t>Horaires publiés mais divergents selon les sources (fuseau à vérifier)</t>
        </is>
      </c>
      <c r="T751" s="9">
        <f>IF(H751="","",IF(MAX(H751,I751)&lt;TODAY(),"Terminé",IF(H751&lt;=TODAY(),"En cours","À venir")))</f>
        <v/>
      </c>
    </row>
    <row r="752">
      <c r="A752" s="9" t="inlineStr">
        <is>
          <t>BIAM-2627-012</t>
        </is>
      </c>
      <c r="B752" s="9" t="inlineStr">
        <is>
          <t>Biathlon</t>
        </is>
      </c>
      <c r="C752" s="9" t="inlineStr">
        <is>
          <t>Championnats du monde de biathlon</t>
        </is>
      </c>
      <c r="D752" s="9" t="inlineStr">
        <is>
          <t>2026-2027</t>
        </is>
      </c>
      <c r="E752" s="9" t="inlineStr">
        <is>
          <t>Mass start</t>
        </is>
      </c>
      <c r="F752" s="9" t="n"/>
      <c r="G752" s="9" t="inlineStr">
        <is>
          <t>Otepää – Mass start Hommes</t>
        </is>
      </c>
      <c r="H752" s="10" t="n">
        <v>46439</v>
      </c>
      <c r="I752" s="10" t="n">
        <v>46439</v>
      </c>
      <c r="J752" s="11" t="n"/>
      <c r="K752" s="9" t="inlineStr">
        <is>
          <t>Europe/Paris</t>
        </is>
      </c>
      <c r="L752" s="9" t="inlineStr">
        <is>
          <t>Otepää</t>
        </is>
      </c>
      <c r="M752" s="9" t="inlineStr">
        <is>
          <t>Estonie</t>
        </is>
      </c>
      <c r="N752" s="9" t="inlineStr">
        <is>
          <t>Hommes</t>
        </is>
      </c>
      <c r="O752" s="9" t="inlineStr">
        <is>
          <t>Officiel</t>
        </is>
      </c>
      <c r="P752" s="9" t="inlineStr">
        <is>
          <t>Oui</t>
        </is>
      </c>
      <c r="Q752" s="9" t="inlineStr">
        <is>
          <t>https://www.nordicmag.info/en/biathlon-the-full-programme-for-the-2027-world-championships-in-otepaa-0325/</t>
        </is>
      </c>
      <c r="R752" s="10" t="n">
        <v>46311</v>
      </c>
      <c r="S752" s="9" t="inlineStr">
        <is>
          <t>Horaires publiés mais divergents selon les sources (fuseau à vérifier)</t>
        </is>
      </c>
      <c r="T752" s="9">
        <f>IF(H752="","",IF(MAX(H752,I752)&lt;TODAY(),"Terminé",IF(H752&lt;=TODAY(),"En cours","À venir")))</f>
        <v/>
      </c>
    </row>
  </sheetData>
  <autoFilter ref="A1:T752"/>
  <conditionalFormatting sqref="A2:T1252">
    <cfRule type="expression" priority="1" dxfId="0">
      <formula>$T2="Terminé"</formula>
    </cfRule>
  </conditionalFormatting>
  <conditionalFormatting sqref="O2:O1252">
    <cfRule type="expression" priority="2" dxfId="1">
      <formula>$O2="Provisoire"</formula>
    </cfRule>
    <cfRule type="expression" priority="3" dxfId="2">
      <formula>OR($O2="À confirmer",$O2="Reporté",$O2="Annulé")</formula>
    </cfRule>
    <cfRule type="expression" priority="4" dxfId="3">
      <formula>$O2="Officiel"</formula>
    </cfRule>
  </conditionalFormatting>
  <dataValidations count="8">
    <dataValidation sqref="B2:B1252" showDropDown="0" showInputMessage="0" showErrorMessage="1" allowBlank="1" errorTitle="Valeur non autorisée" error="Choisir une valeur de la liste (onglet Référentiels)." type="list">
      <formula1>='Référentiels'!$H$2:$H$30</formula1>
    </dataValidation>
    <dataValidation sqref="C2:C1252" showDropDown="0" showInputMessage="0" showErrorMessage="1" allowBlank="1" errorTitle="Valeur non autorisée" error="Choisir une valeur de la liste (onglet Référentiels)." type="list">
      <formula1>='Référentiels'!$C$2:$C$40</formula1>
    </dataValidation>
    <dataValidation sqref="O2:O1252" showDropDown="0" showInputMessage="0" showErrorMessage="1" allowBlank="1" errorTitle="Valeur non autorisée" error="Choisir une valeur de la liste (onglet Référentiels)." type="list">
      <formula1>='Référentiels'!$J$2:$J$10</formula1>
    </dataValidation>
    <dataValidation sqref="N2:N1252" showDropDown="0" showInputMessage="0" showErrorMessage="1" allowBlank="1" errorTitle="Valeur non autorisée" error="Choisir une valeur de la liste (onglet Référentiels)." type="list">
      <formula1>='Référentiels'!$K$2:$K$10</formula1>
    </dataValidation>
    <dataValidation sqref="P2:P1252" showDropDown="0" showInputMessage="0" showErrorMessage="1" allowBlank="1" errorTitle="Valeur non autorisée" error="Choisir une valeur de la liste (onglet Référentiels)." type="list">
      <formula1>='Référentiels'!$L$2:$L$5</formula1>
    </dataValidation>
    <dataValidation sqref="H2:H1252" showDropDown="0" showInputMessage="0" showErrorMessage="1" allowBlank="1" errorTitle="Date attendue" error="Saisir une date au format JJ/MM/AAAA." type="date" operator="greaterThan">
      <formula1>DATE(2020,1,1)</formula1>
    </dataValidation>
    <dataValidation sqref="I2:I1252" showDropDown="0" showInputMessage="0" showErrorMessage="1" allowBlank="1" errorTitle="Date attendue" error="Saisir une date au format JJ/MM/AAAA." type="date" operator="greaterThan">
      <formula1>DATE(2020,1,1)</formula1>
    </dataValidation>
    <dataValidation sqref="R2:R1252" showDropDown="0" showInputMessage="0" showErrorMessage="1" allowBlank="1" errorTitle="Date attendue" error="Saisir une date au format JJ/MM/AAAA." type="date" operator="greaterThan">
      <formula1>DATE(2020,1,1)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34" customWidth="1" min="3" max="3"/>
    <col width="40" customWidth="1" min="4" max="4"/>
    <col width="38" customWidth="1" min="5" max="5"/>
    <col width="12" customWidth="1" min="6" max="6"/>
    <col width="16" customWidth="1" min="7" max="7"/>
    <col width="20" customWidth="1" min="8" max="8"/>
    <col width="3" customWidth="1" min="9" max="9"/>
    <col width="13" customWidth="1" min="10" max="10"/>
    <col width="10" customWidth="1" min="11" max="11"/>
    <col width="9" customWidth="1" min="12" max="12"/>
  </cols>
  <sheetData>
    <row r="1">
      <c r="A1" s="8" t="inlineStr">
        <is>
          <t>code</t>
        </is>
      </c>
      <c r="B1" s="8" t="inlineStr">
        <is>
          <t>sport</t>
        </is>
      </c>
      <c r="C1" s="8" t="inlineStr">
        <is>
          <t>competition</t>
        </is>
      </c>
      <c r="D1" s="8" t="inlineStr">
        <is>
          <t>granularite</t>
        </is>
      </c>
      <c r="E1" s="8" t="inlineStr">
        <is>
          <t>source_officielle</t>
        </is>
      </c>
      <c r="F1" s="8" t="inlineStr">
        <is>
          <t>nb_epreuves</t>
        </is>
      </c>
      <c r="G1" s="8" t="inlineStr">
        <is>
          <t>prochaine_epreuve</t>
        </is>
      </c>
      <c r="H1" s="8" t="inlineStr">
        <is>
          <t>sports</t>
        </is>
      </c>
      <c r="I1" s="12" t="inlineStr"/>
      <c r="J1" s="8" t="inlineStr">
        <is>
          <t>statuts</t>
        </is>
      </c>
      <c r="K1" s="8" t="inlineStr">
        <is>
          <t>genres</t>
        </is>
      </c>
      <c r="L1" s="8" t="inlineStr">
        <is>
          <t>oui_non</t>
        </is>
      </c>
    </row>
    <row r="2">
      <c r="A2" s="13" t="inlineStr">
        <is>
          <t>L1</t>
        </is>
      </c>
      <c r="B2" s="13" t="inlineStr">
        <is>
          <t>Football</t>
        </is>
      </c>
      <c r="C2" s="13" t="inlineStr">
        <is>
          <t>Ligue 1</t>
        </is>
      </c>
      <c r="D2" s="13" t="inlineStr">
        <is>
          <t>1 ligne par journée</t>
        </is>
      </c>
      <c r="E2" s="13" t="inlineStr">
        <is>
          <t>https://ligue1.com</t>
        </is>
      </c>
      <c r="F2" s="13">
        <f>COUNTIF('Épreuves'!$C$2:$C$5000,C2)</f>
        <v/>
      </c>
      <c r="G2" s="14">
        <f>IFERROR(1/(1/_xlfn.MINIFS('Épreuves'!$H$2:$H$5000,'Épreuves'!$C$2:$C$5000,C2,'Épreuves'!$H$2:$H$5000,"&gt;="&amp;TODAY())),"")</f>
        <v/>
      </c>
      <c r="H2" s="13" t="inlineStr">
        <is>
          <t>Basketball</t>
        </is>
      </c>
      <c r="J2" s="13" t="inlineStr">
        <is>
          <t>Officiel</t>
        </is>
      </c>
      <c r="K2" s="13" t="inlineStr">
        <is>
          <t>Hommes</t>
        </is>
      </c>
      <c r="L2" s="13" t="inlineStr">
        <is>
          <t>Oui</t>
        </is>
      </c>
    </row>
    <row r="3">
      <c r="A3" s="13" t="inlineStr">
        <is>
          <t>L2</t>
        </is>
      </c>
      <c r="B3" s="13" t="inlineStr">
        <is>
          <t>Football</t>
        </is>
      </c>
      <c r="C3" s="13" t="inlineStr">
        <is>
          <t>Ligue 2</t>
        </is>
      </c>
      <c r="D3" s="13" t="inlineStr">
        <is>
          <t>1 ligne par journée</t>
        </is>
      </c>
      <c r="E3" s="13" t="inlineStr">
        <is>
          <t>https://www.ligue2.fr</t>
        </is>
      </c>
      <c r="F3" s="13">
        <f>COUNTIF('Épreuves'!$C$2:$C$5000,C3)</f>
        <v/>
      </c>
      <c r="G3" s="14">
        <f>IFERROR(1/(1/_xlfn.MINIFS('Épreuves'!$H$2:$H$5000,'Épreuves'!$C$2:$C$5000,C3,'Épreuves'!$H$2:$H$5000,"&gt;="&amp;TODAY())),"")</f>
        <v/>
      </c>
      <c r="H3" s="13" t="inlineStr">
        <is>
          <t>Biathlon</t>
        </is>
      </c>
      <c r="J3" s="13" t="inlineStr">
        <is>
          <t>Provisoire</t>
        </is>
      </c>
      <c r="K3" s="13" t="inlineStr">
        <is>
          <t>Femmes</t>
        </is>
      </c>
      <c r="L3" s="13" t="inlineStr">
        <is>
          <t>Non</t>
        </is>
      </c>
    </row>
    <row r="4">
      <c r="A4" s="13" t="inlineStr">
        <is>
          <t>LIGA</t>
        </is>
      </c>
      <c r="B4" s="13" t="inlineStr">
        <is>
          <t>Football</t>
        </is>
      </c>
      <c r="C4" s="13" t="inlineStr">
        <is>
          <t>LaLiga</t>
        </is>
      </c>
      <c r="D4" s="13" t="inlineStr">
        <is>
          <t>1 ligne par journée</t>
        </is>
      </c>
      <c r="E4" s="13" t="inlineStr">
        <is>
          <t>https://www.laliga.com</t>
        </is>
      </c>
      <c r="F4" s="13">
        <f>COUNTIF('Épreuves'!$C$2:$C$5000,C4)</f>
        <v/>
      </c>
      <c r="G4" s="14">
        <f>IFERROR(1/(1/_xlfn.MINIFS('Épreuves'!$H$2:$H$5000,'Épreuves'!$C$2:$C$5000,C4,'Épreuves'!$H$2:$H$5000,"&gt;="&amp;TODAY())),"")</f>
        <v/>
      </c>
      <c r="H4" s="13" t="inlineStr">
        <is>
          <t>Cyclisme sur route</t>
        </is>
      </c>
      <c r="J4" s="13" t="inlineStr">
        <is>
          <t>À confirmer</t>
        </is>
      </c>
      <c r="K4" s="13" t="inlineStr">
        <is>
          <t>Mixte</t>
        </is>
      </c>
    </row>
    <row r="5">
      <c r="A5" s="13" t="inlineStr">
        <is>
          <t>EPL</t>
        </is>
      </c>
      <c r="B5" s="13" t="inlineStr">
        <is>
          <t>Football</t>
        </is>
      </c>
      <c r="C5" s="13" t="inlineStr">
        <is>
          <t>Premier League</t>
        </is>
      </c>
      <c r="D5" s="13" t="inlineStr">
        <is>
          <t>1 ligne par journée</t>
        </is>
      </c>
      <c r="E5" s="13" t="inlineStr">
        <is>
          <t>https://www.premierleague.com</t>
        </is>
      </c>
      <c r="F5" s="13">
        <f>COUNTIF('Épreuves'!$C$2:$C$5000,C5)</f>
        <v/>
      </c>
      <c r="G5" s="14">
        <f>IFERROR(1/(1/_xlfn.MINIFS('Épreuves'!$H$2:$H$5000,'Épreuves'!$C$2:$C$5000,C5,'Épreuves'!$H$2:$H$5000,"&gt;="&amp;TODAY())),"")</f>
        <v/>
      </c>
      <c r="H5" s="13" t="inlineStr">
        <is>
          <t>Football</t>
        </is>
      </c>
      <c r="J5" s="13" t="inlineStr">
        <is>
          <t>Reporté</t>
        </is>
      </c>
    </row>
    <row r="6">
      <c r="A6" s="13" t="inlineStr">
        <is>
          <t>UCL</t>
        </is>
      </c>
      <c r="B6" s="13" t="inlineStr">
        <is>
          <t>Football</t>
        </is>
      </c>
      <c r="C6" s="13" t="inlineStr">
        <is>
          <t>UEFA Champions League</t>
        </is>
      </c>
      <c r="D6" s="13" t="inlineStr">
        <is>
          <t>1 ligne par journée ou par match aller/retour</t>
        </is>
      </c>
      <c r="E6" s="13" t="inlineStr">
        <is>
          <t>https://www.uefa.com/uefachampionsleague</t>
        </is>
      </c>
      <c r="F6" s="13">
        <f>COUNTIF('Épreuves'!$C$2:$C$5000,C6)</f>
        <v/>
      </c>
      <c r="G6" s="14">
        <f>IFERROR(1/(1/_xlfn.MINIFS('Épreuves'!$H$2:$H$5000,'Épreuves'!$C$2:$C$5000,C6,'Épreuves'!$H$2:$H$5000,"&gt;="&amp;TODAY())),"")</f>
        <v/>
      </c>
      <c r="H6" s="13" t="inlineStr">
        <is>
          <t>Football américain</t>
        </is>
      </c>
      <c r="J6" s="13" t="inlineStr">
        <is>
          <t>Annulé</t>
        </is>
      </c>
    </row>
    <row r="7">
      <c r="A7" s="13" t="inlineStr">
        <is>
          <t>UNL</t>
        </is>
      </c>
      <c r="B7" s="13" t="inlineStr">
        <is>
          <t>Football</t>
        </is>
      </c>
      <c r="C7" s="13" t="inlineStr">
        <is>
          <t>UEFA Nations League</t>
        </is>
      </c>
      <c r="D7" s="13" t="inlineStr">
        <is>
          <t>1 ligne par journée ou par tour</t>
        </is>
      </c>
      <c r="E7" s="13" t="inlineStr">
        <is>
          <t>https://www.uefa.com/uefanationsleague</t>
        </is>
      </c>
      <c r="F7" s="13">
        <f>COUNTIF('Épreuves'!$C$2:$C$5000,C7)</f>
        <v/>
      </c>
      <c r="G7" s="14">
        <f>IFERROR(1/(1/_xlfn.MINIFS('Épreuves'!$H$2:$H$5000,'Épreuves'!$C$2:$C$5000,C7,'Épreuves'!$H$2:$H$5000,"&gt;="&amp;TODAY())),"")</f>
        <v/>
      </c>
      <c r="H7" s="13" t="inlineStr">
        <is>
          <t>Golf</t>
        </is>
      </c>
    </row>
    <row r="8">
      <c r="A8" s="13" t="inlineStr">
        <is>
          <t>T14</t>
        </is>
      </c>
      <c r="B8" s="13" t="inlineStr">
        <is>
          <t>Rugby</t>
        </is>
      </c>
      <c r="C8" s="13" t="inlineStr">
        <is>
          <t>Top 14</t>
        </is>
      </c>
      <c r="D8" s="13" t="inlineStr">
        <is>
          <t>1 ligne par journée</t>
        </is>
      </c>
      <c r="E8" s="13" t="inlineStr">
        <is>
          <t>https://top14.lnr.fr</t>
        </is>
      </c>
      <c r="F8" s="13">
        <f>COUNTIF('Épreuves'!$C$2:$C$5000,C8)</f>
        <v/>
      </c>
      <c r="G8" s="14">
        <f>IFERROR(1/(1/_xlfn.MINIFS('Épreuves'!$H$2:$H$5000,'Épreuves'!$C$2:$C$5000,C8,'Épreuves'!$H$2:$H$5000,"&gt;="&amp;TODAY())),"")</f>
        <v/>
      </c>
      <c r="H8" s="13" t="inlineStr">
        <is>
          <t>Handball</t>
        </is>
      </c>
    </row>
    <row r="9">
      <c r="A9" s="13" t="inlineStr">
        <is>
          <t>PD2</t>
        </is>
      </c>
      <c r="B9" s="13" t="inlineStr">
        <is>
          <t>Rugby</t>
        </is>
      </c>
      <c r="C9" s="13" t="inlineStr">
        <is>
          <t>Pro D2</t>
        </is>
      </c>
      <c r="D9" s="13" t="inlineStr">
        <is>
          <t>1 ligne par journée</t>
        </is>
      </c>
      <c r="E9" s="13" t="inlineStr">
        <is>
          <t>https://prod2.lnr.fr</t>
        </is>
      </c>
      <c r="F9" s="13">
        <f>COUNTIF('Épreuves'!$C$2:$C$5000,C9)</f>
        <v/>
      </c>
      <c r="G9" s="14">
        <f>IFERROR(1/(1/_xlfn.MINIFS('Épreuves'!$H$2:$H$5000,'Épreuves'!$C$2:$C$5000,C9,'Épreuves'!$H$2:$H$5000,"&gt;="&amp;TODAY())),"")</f>
        <v/>
      </c>
      <c r="H9" s="13" t="inlineStr">
        <is>
          <t>Hockey sur glace</t>
        </is>
      </c>
    </row>
    <row r="10">
      <c r="A10" s="13" t="inlineStr">
        <is>
          <t>CC</t>
        </is>
      </c>
      <c r="B10" s="13" t="inlineStr">
        <is>
          <t>Rugby</t>
        </is>
      </c>
      <c r="C10" s="13" t="inlineStr">
        <is>
          <t>Champions Cup</t>
        </is>
      </c>
      <c r="D10" s="13" t="inlineStr">
        <is>
          <t>1 ligne par journée ou par tour</t>
        </is>
      </c>
      <c r="E10" s="13" t="inlineStr">
        <is>
          <t>https://www.epcrugby.com</t>
        </is>
      </c>
      <c r="F10" s="13">
        <f>COUNTIF('Épreuves'!$C$2:$C$5000,C10)</f>
        <v/>
      </c>
      <c r="G10" s="14">
        <f>IFERROR(1/(1/_xlfn.MINIFS('Épreuves'!$H$2:$H$5000,'Épreuves'!$C$2:$C$5000,C10,'Épreuves'!$H$2:$H$5000,"&gt;="&amp;TODAY())),"")</f>
        <v/>
      </c>
      <c r="H10" s="13" t="inlineStr">
        <is>
          <t>Moto</t>
        </is>
      </c>
    </row>
    <row r="11">
      <c r="A11" s="13" t="inlineStr">
        <is>
          <t>SL</t>
        </is>
      </c>
      <c r="B11" s="13" t="inlineStr">
        <is>
          <t>Handball</t>
        </is>
      </c>
      <c r="C11" s="13" t="inlineStr">
        <is>
          <t>StarLigue</t>
        </is>
      </c>
      <c r="D11" s="13" t="inlineStr">
        <is>
          <t>1 ligne par journée</t>
        </is>
      </c>
      <c r="E11" s="13" t="inlineStr">
        <is>
          <t>https://www.lnh.fr</t>
        </is>
      </c>
      <c r="F11" s="13">
        <f>COUNTIF('Épreuves'!$C$2:$C$5000,C11)</f>
        <v/>
      </c>
      <c r="G11" s="14">
        <f>IFERROR(1/(1/_xlfn.MINIFS('Épreuves'!$H$2:$H$5000,'Épreuves'!$C$2:$C$5000,C11,'Épreuves'!$H$2:$H$5000,"&gt;="&amp;TODAY())),"")</f>
        <v/>
      </c>
      <c r="H11" s="13" t="inlineStr">
        <is>
          <t>Rallye</t>
        </is>
      </c>
    </row>
    <row r="12">
      <c r="A12" s="13" t="inlineStr">
        <is>
          <t>MAG</t>
        </is>
      </c>
      <c r="B12" s="13" t="inlineStr">
        <is>
          <t>Hockey sur glace</t>
        </is>
      </c>
      <c r="C12" s="13" t="inlineStr">
        <is>
          <t>Ligue Magnus</t>
        </is>
      </c>
      <c r="D12" s="13" t="inlineStr">
        <is>
          <t>1 ligne par journée ou par tour de play-offs</t>
        </is>
      </c>
      <c r="E12" s="13" t="inlineStr">
        <is>
          <t>https://www.hockeyfrance.com</t>
        </is>
      </c>
      <c r="F12" s="13">
        <f>COUNTIF('Épreuves'!$C$2:$C$5000,C12)</f>
        <v/>
      </c>
      <c r="G12" s="14">
        <f>IFERROR(1/(1/_xlfn.MINIFS('Épreuves'!$H$2:$H$5000,'Épreuves'!$C$2:$C$5000,C12,'Épreuves'!$H$2:$H$5000,"&gt;="&amp;TODAY())),"")</f>
        <v/>
      </c>
      <c r="H12" s="13" t="inlineStr">
        <is>
          <t>Rugby</t>
        </is>
      </c>
    </row>
    <row r="13">
      <c r="A13" s="13" t="inlineStr">
        <is>
          <t>SPK</t>
        </is>
      </c>
      <c r="B13" s="13" t="inlineStr">
        <is>
          <t>Volley-ball</t>
        </is>
      </c>
      <c r="C13" s="13" t="inlineStr">
        <is>
          <t>Marmara SpikeLigue</t>
        </is>
      </c>
      <c r="D13" s="13" t="inlineStr">
        <is>
          <t>1 ligne par journée ou par tour de play-offs</t>
        </is>
      </c>
      <c r="E13" s="13" t="inlineStr">
        <is>
          <t>https://www.lnv.fr</t>
        </is>
      </c>
      <c r="F13" s="13">
        <f>COUNTIF('Épreuves'!$C$2:$C$5000,C13)</f>
        <v/>
      </c>
      <c r="G13" s="14">
        <f>IFERROR(1/(1/_xlfn.MINIFS('Épreuves'!$H$2:$H$5000,'Épreuves'!$C$2:$C$5000,C13,'Épreuves'!$H$2:$H$5000,"&gt;="&amp;TODAY())),"")</f>
        <v/>
      </c>
      <c r="H13" s="13" t="inlineStr">
        <is>
          <t>Ski alpin</t>
        </is>
      </c>
    </row>
    <row r="14">
      <c r="A14" s="13" t="inlineStr">
        <is>
          <t>NBA</t>
        </is>
      </c>
      <c r="B14" s="13" t="inlineStr">
        <is>
          <t>Basketball</t>
        </is>
      </c>
      <c r="C14" s="13" t="inlineStr">
        <is>
          <t>NBA</t>
        </is>
      </c>
      <c r="D14" s="13" t="inlineStr">
        <is>
          <t>1 ligne par semaine + temps forts</t>
        </is>
      </c>
      <c r="E14" s="13" t="inlineStr">
        <is>
          <t>https://www.nba.com</t>
        </is>
      </c>
      <c r="F14" s="13">
        <f>COUNTIF('Épreuves'!$C$2:$C$5000,C14)</f>
        <v/>
      </c>
      <c r="G14" s="14">
        <f>IFERROR(1/(1/_xlfn.MINIFS('Épreuves'!$H$2:$H$5000,'Épreuves'!$C$2:$C$5000,C14,'Épreuves'!$H$2:$H$5000,"&gt;="&amp;TODAY())),"")</f>
        <v/>
      </c>
      <c r="H14" s="13" t="inlineStr">
        <is>
          <t>Sport automobile</t>
        </is>
      </c>
    </row>
    <row r="15">
      <c r="A15" s="13" t="inlineStr">
        <is>
          <t>NFL</t>
        </is>
      </c>
      <c r="B15" s="13" t="inlineStr">
        <is>
          <t>Football américain</t>
        </is>
      </c>
      <c r="C15" s="13" t="inlineStr">
        <is>
          <t>NFL</t>
        </is>
      </c>
      <c r="D15" s="13" t="inlineStr">
        <is>
          <t>1 ligne par semaine (Week)</t>
        </is>
      </c>
      <c r="E15" s="13" t="inlineStr">
        <is>
          <t>https://www.nfl.com</t>
        </is>
      </c>
      <c r="F15" s="13">
        <f>COUNTIF('Épreuves'!$C$2:$C$5000,C15)</f>
        <v/>
      </c>
      <c r="G15" s="14">
        <f>IFERROR(1/(1/_xlfn.MINIFS('Épreuves'!$H$2:$H$5000,'Épreuves'!$C$2:$C$5000,C15,'Épreuves'!$H$2:$H$5000,"&gt;="&amp;TODAY())),"")</f>
        <v/>
      </c>
      <c r="H15" s="13" t="inlineStr">
        <is>
          <t>Tennis</t>
        </is>
      </c>
    </row>
    <row r="16">
      <c r="A16" s="13" t="inlineStr">
        <is>
          <t>PGA</t>
        </is>
      </c>
      <c r="B16" s="13" t="inlineStr">
        <is>
          <t>Golf</t>
        </is>
      </c>
      <c r="C16" s="13" t="inlineStr">
        <is>
          <t>PGA Tour</t>
        </is>
      </c>
      <c r="D16" s="13" t="inlineStr">
        <is>
          <t>1 ligne par tournoi</t>
        </is>
      </c>
      <c r="E16" s="13" t="inlineStr">
        <is>
          <t>https://www.pgatour.com</t>
        </is>
      </c>
      <c r="F16" s="13">
        <f>COUNTIF('Épreuves'!$C$2:$C$5000,C16)</f>
        <v/>
      </c>
      <c r="G16" s="14">
        <f>IFERROR(1/(1/_xlfn.MINIFS('Épreuves'!$H$2:$H$5000,'Épreuves'!$C$2:$C$5000,C16,'Épreuves'!$H$2:$H$5000,"&gt;="&amp;TODAY())),"")</f>
        <v/>
      </c>
      <c r="H16" s="13" t="inlineStr">
        <is>
          <t>Volley-ball</t>
        </is>
      </c>
    </row>
    <row r="17">
      <c r="A17" s="13" t="inlineStr">
        <is>
          <t>F1</t>
        </is>
      </c>
      <c r="B17" s="13" t="inlineStr">
        <is>
          <t>Sport automobile</t>
        </is>
      </c>
      <c r="C17" s="13" t="inlineStr">
        <is>
          <t>Formule 1</t>
        </is>
      </c>
      <c r="D17" s="13" t="inlineStr">
        <is>
          <t>1 ligne par week-end de Grand Prix</t>
        </is>
      </c>
      <c r="E17" s="13" t="inlineStr">
        <is>
          <t>https://www.formula1.com</t>
        </is>
      </c>
      <c r="F17" s="13">
        <f>COUNTIF('Épreuves'!$C$2:$C$5000,C17)</f>
        <v/>
      </c>
      <c r="G17" s="14">
        <f>IFERROR(1/(1/_xlfn.MINIFS('Épreuves'!$H$2:$H$5000,'Épreuves'!$C$2:$C$5000,C17,'Épreuves'!$H$2:$H$5000,"&gt;="&amp;TODAY())),"")</f>
        <v/>
      </c>
    </row>
    <row r="18">
      <c r="A18" s="13" t="inlineStr">
        <is>
          <t>MGP</t>
        </is>
      </c>
      <c r="B18" s="13" t="inlineStr">
        <is>
          <t>Moto</t>
        </is>
      </c>
      <c r="C18" s="13" t="inlineStr">
        <is>
          <t>MotoGP</t>
        </is>
      </c>
      <c r="D18" s="13" t="inlineStr">
        <is>
          <t>1 ligne par week-end de Grand Prix</t>
        </is>
      </c>
      <c r="E18" s="13" t="inlineStr">
        <is>
          <t>https://www.motogp.com</t>
        </is>
      </c>
      <c r="F18" s="13">
        <f>COUNTIF('Épreuves'!$C$2:$C$5000,C18)</f>
        <v/>
      </c>
      <c r="G18" s="14">
        <f>IFERROR(1/(1/_xlfn.MINIFS('Épreuves'!$H$2:$H$5000,'Épreuves'!$C$2:$C$5000,C18,'Épreuves'!$H$2:$H$5000,"&gt;="&amp;TODAY())),"")</f>
        <v/>
      </c>
    </row>
    <row r="19">
      <c r="A19" s="13" t="inlineStr">
        <is>
          <t>WRC</t>
        </is>
      </c>
      <c r="B19" s="13" t="inlineStr">
        <is>
          <t>Rallye</t>
        </is>
      </c>
      <c r="C19" s="13" t="inlineStr">
        <is>
          <t>WRC</t>
        </is>
      </c>
      <c r="D19" s="13" t="inlineStr">
        <is>
          <t>1 ligne par rallye</t>
        </is>
      </c>
      <c r="E19" s="13" t="inlineStr">
        <is>
          <t>https://www.wrc.com</t>
        </is>
      </c>
      <c r="F19" s="13">
        <f>COUNTIF('Épreuves'!$C$2:$C$5000,C19)</f>
        <v/>
      </c>
      <c r="G19" s="14">
        <f>IFERROR(1/(1/_xlfn.MINIFS('Épreuves'!$H$2:$H$5000,'Épreuves'!$C$2:$C$5000,C19,'Épreuves'!$H$2:$H$5000,"&gt;="&amp;TODAY())),"")</f>
        <v/>
      </c>
    </row>
    <row r="20">
      <c r="A20" s="13" t="inlineStr">
        <is>
          <t>GC</t>
        </is>
      </c>
      <c r="B20" s="13" t="inlineStr">
        <is>
          <t>Tennis</t>
        </is>
      </c>
      <c r="C20" s="13" t="inlineStr">
        <is>
          <t>Grand Chelem</t>
        </is>
      </c>
      <c r="D20" s="13" t="inlineStr">
        <is>
          <t>1 ligne par tournoi</t>
        </is>
      </c>
      <c r="E20" s="13" t="inlineStr">
        <is>
          <t>https://www.itftennis.com</t>
        </is>
      </c>
      <c r="F20" s="13">
        <f>COUNTIF('Épreuves'!$C$2:$C$5000,C20)</f>
        <v/>
      </c>
      <c r="G20" s="14">
        <f>IFERROR(1/(1/_xlfn.MINIFS('Épreuves'!$H$2:$H$5000,'Épreuves'!$C$2:$C$5000,C20,'Épreuves'!$H$2:$H$5000,"&gt;="&amp;TODAY())),"")</f>
        <v/>
      </c>
    </row>
    <row r="21">
      <c r="A21" s="13" t="inlineStr">
        <is>
          <t>UCI</t>
        </is>
      </c>
      <c r="B21" s="13" t="inlineStr">
        <is>
          <t>Cyclisme sur route</t>
        </is>
      </c>
      <c r="C21" s="13" t="inlineStr">
        <is>
          <t>UCI WorldTour</t>
        </is>
      </c>
      <c r="D21" s="13" t="inlineStr">
        <is>
          <t>1 ligne par course</t>
        </is>
      </c>
      <c r="E21" s="13" t="inlineStr">
        <is>
          <t>https://www.uci.org</t>
        </is>
      </c>
      <c r="F21" s="13">
        <f>COUNTIF('Épreuves'!$C$2:$C$5000,C21)</f>
        <v/>
      </c>
      <c r="G21" s="14">
        <f>IFERROR(1/(1/_xlfn.MINIFS('Épreuves'!$H$2:$H$5000,'Épreuves'!$C$2:$C$5000,C21,'Épreuves'!$H$2:$H$5000,"&gt;="&amp;TODAY())),"")</f>
        <v/>
      </c>
    </row>
    <row r="22">
      <c r="A22" s="13" t="inlineStr">
        <is>
          <t>UCIM</t>
        </is>
      </c>
      <c r="B22" s="13" t="inlineStr">
        <is>
          <t>Cyclisme sur route</t>
        </is>
      </c>
      <c r="C22" s="13" t="inlineStr">
        <is>
          <t>Championnats du monde UCI</t>
        </is>
      </c>
      <c r="D22" s="13" t="inlineStr">
        <is>
          <t>1 ligne par épreuve</t>
        </is>
      </c>
      <c r="E22" s="13" t="inlineStr">
        <is>
          <t>https://www.uci.org</t>
        </is>
      </c>
      <c r="F22" s="13">
        <f>COUNTIF('Épreuves'!$C$2:$C$5000,C22)</f>
        <v/>
      </c>
      <c r="G22" s="14">
        <f>IFERROR(1/(1/_xlfn.MINIFS('Épreuves'!$H$2:$H$5000,'Épreuves'!$C$2:$C$5000,C22,'Épreuves'!$H$2:$H$5000,"&gt;="&amp;TODAY())),"")</f>
        <v/>
      </c>
    </row>
    <row r="23">
      <c r="A23" s="13" t="inlineStr">
        <is>
          <t>SKI</t>
        </is>
      </c>
      <c r="B23" s="13" t="inlineStr">
        <is>
          <t>Ski alpin</t>
        </is>
      </c>
      <c r="C23" s="13" t="inlineStr">
        <is>
          <t>Coupe du monde de ski alpin</t>
        </is>
      </c>
      <c r="D23" s="13" t="inlineStr">
        <is>
          <t>1 ligne par épreuve</t>
        </is>
      </c>
      <c r="E23" s="13" t="inlineStr">
        <is>
          <t>https://www.fis-ski.com</t>
        </is>
      </c>
      <c r="F23" s="13">
        <f>COUNTIF('Épreuves'!$C$2:$C$5000,C23)</f>
        <v/>
      </c>
      <c r="G23" s="14">
        <f>IFERROR(1/(1/_xlfn.MINIFS('Épreuves'!$H$2:$H$5000,'Épreuves'!$C$2:$C$5000,C23,'Épreuves'!$H$2:$H$5000,"&gt;="&amp;TODAY())),"")</f>
        <v/>
      </c>
    </row>
    <row r="24">
      <c r="A24" s="13" t="inlineStr">
        <is>
          <t>SKIM</t>
        </is>
      </c>
      <c r="B24" s="13" t="inlineStr">
        <is>
          <t>Ski alpin</t>
        </is>
      </c>
      <c r="C24" s="13" t="inlineStr">
        <is>
          <t>Championnats du monde de ski alpin</t>
        </is>
      </c>
      <c r="D24" s="13" t="inlineStr">
        <is>
          <t>1 ligne par épreuve</t>
        </is>
      </c>
      <c r="E24" s="13" t="inlineStr">
        <is>
          <t>https://www.fis-ski.com</t>
        </is>
      </c>
      <c r="F24" s="13">
        <f>COUNTIF('Épreuves'!$C$2:$C$5000,C24)</f>
        <v/>
      </c>
      <c r="G24" s="14">
        <f>IFERROR(1/(1/_xlfn.MINIFS('Épreuves'!$H$2:$H$5000,'Épreuves'!$C$2:$C$5000,C24,'Épreuves'!$H$2:$H$5000,"&gt;="&amp;TODAY())),"")</f>
        <v/>
      </c>
    </row>
    <row r="25">
      <c r="A25" s="13" t="inlineStr">
        <is>
          <t>BIA</t>
        </is>
      </c>
      <c r="B25" s="13" t="inlineStr">
        <is>
          <t>Biathlon</t>
        </is>
      </c>
      <c r="C25" s="13" t="inlineStr">
        <is>
          <t>Coupe du monde de biathlon</t>
        </is>
      </c>
      <c r="D25" s="13" t="inlineStr">
        <is>
          <t>1 ligne par épreuve</t>
        </is>
      </c>
      <c r="E25" s="13" t="inlineStr">
        <is>
          <t>https://www.biathlonworld.com</t>
        </is>
      </c>
      <c r="F25" s="13">
        <f>COUNTIF('Épreuves'!$C$2:$C$5000,C25)</f>
        <v/>
      </c>
      <c r="G25" s="14">
        <f>IFERROR(1/(1/_xlfn.MINIFS('Épreuves'!$H$2:$H$5000,'Épreuves'!$C$2:$C$5000,C25,'Épreuves'!$H$2:$H$5000,"&gt;="&amp;TODAY())),"")</f>
        <v/>
      </c>
    </row>
    <row r="26">
      <c r="A26" s="13" t="inlineStr">
        <is>
          <t>BIAM</t>
        </is>
      </c>
      <c r="B26" s="13" t="inlineStr">
        <is>
          <t>Biathlon</t>
        </is>
      </c>
      <c r="C26" s="13" t="inlineStr">
        <is>
          <t>Championnats du monde de biathlon</t>
        </is>
      </c>
      <c r="D26" s="13" t="inlineStr">
        <is>
          <t>1 ligne par épreuve</t>
        </is>
      </c>
      <c r="E26" s="13" t="inlineStr">
        <is>
          <t>https://www.biathlonworld.com</t>
        </is>
      </c>
      <c r="F26" s="13">
        <f>COUNTIF('Épreuves'!$C$2:$C$5000,C26)</f>
        <v/>
      </c>
      <c r="G26" s="14">
        <f>IFERROR(1/(1/_xlfn.MINIFS('Épreuves'!$H$2:$H$5000,'Épreuves'!$C$2:$C$5000,C26,'Épreuves'!$H$2:$H$5000,"&gt;="&amp;TODAY())),"")</f>
        <v/>
      </c>
    </row>
    <row r="27">
      <c r="C27" s="15" t="inlineStr">
        <is>
          <t>Total</t>
        </is>
      </c>
      <c r="F27" s="15">
        <f>SUM(F2:F26)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2026-10-16T15:46:30Z</dcterms:created>
  <dcterms:modified xmlns:dcterms="http://purl.org/dc/terms/" xmlns:xsi="http://www.w3.org/2001/XMLSchema-instance" xsi:type="dcterms:W3CDTF">2026-10-16T15:46:31Z</dcterms:modified>
</cp:coreProperties>
</file>